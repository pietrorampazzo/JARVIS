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c062993eaa45f7e/.vscode/JARVIS/arte_/DOWNLOADS/"/>
    </mc:Choice>
  </mc:AlternateContent>
  <xr:revisionPtr revIDLastSave="63" documentId="11_19DDD2ABD360DF5BD961DDF0505ED87656C51C2D" xr6:coauthVersionLast="47" xr6:coauthVersionMax="47" xr10:uidLastSave="{693770BA-275B-4CAC-910C-00F7423D081A}"/>
  <bookViews>
    <workbookView xWindow="14295" yWindow="-16200" windowWidth="14610" windowHeight="15585" xr2:uid="{00000000-000D-0000-FFFF-FFFF00000000}"/>
  </bookViews>
  <sheets>
    <sheet name="Sheet1" sheetId="1" r:id="rId1"/>
    <sheet name="Planilha1" sheetId="2" r:id="rId2"/>
  </sheets>
  <definedNames>
    <definedName name="_xlnm._FilterDatabase" localSheetId="0" hidden="1">Sheet1!$A$1:$AR$183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2" i="1" l="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R18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G43" i="2"/>
  <c r="Q184" i="1"/>
  <c r="S184" i="1"/>
</calcChain>
</file>

<file path=xl/sharedStrings.xml><?xml version="1.0" encoding="utf-8"?>
<sst xmlns="http://schemas.openxmlformats.org/spreadsheetml/2006/main" count="2237" uniqueCount="913">
  <si>
    <t>Nº</t>
  </si>
  <si>
    <t>DESCRICAO</t>
  </si>
  <si>
    <t>REFERENCIA</t>
  </si>
  <si>
    <t>QTDE</t>
  </si>
  <si>
    <t>VALOR_UNIT</t>
  </si>
  <si>
    <t>VALOR_TOTAL</t>
  </si>
  <si>
    <t>UNID_FORN</t>
  </si>
  <si>
    <t>LOCAL_ENTREGA</t>
  </si>
  <si>
    <t>ARQUIVO</t>
  </si>
  <si>
    <t>TIMESTAMP</t>
  </si>
  <si>
    <t>marca_modelo_edital</t>
  </si>
  <si>
    <t>STATUS</t>
  </si>
  <si>
    <t>marca_sugerida</t>
  </si>
  <si>
    <t>modelo_sugerido</t>
  </si>
  <si>
    <t>VALOR</t>
  </si>
  <si>
    <t>VALOR_VENDA</t>
  </si>
  <si>
    <t>VALOR_VENDA_TOTAL</t>
  </si>
  <si>
    <t>MARGEM_LUCRO</t>
  </si>
  <si>
    <t>LUCRO_TOTAL</t>
  </si>
  <si>
    <t>JUSTIFICATIVA_TECNICA</t>
  </si>
  <si>
    <t>PARECER_JURIDICO_IMPUGNACAO</t>
  </si>
  <si>
    <t>Instrumento musical - percursão Instrumento Musical - Percursão Tipo: Agogo, Material: Metal, Componentes: 2 Cones E 1 Haste, Tamanho: 35 X 9CM</t>
  </si>
  <si>
    <t>AGOGÔ Instrumento Musical - Percursão, Tipo: Agogo, Material: Metal, Componentes: 2 Cones E 1 Haste, Tamanho: 35 X 9 CM.</t>
  </si>
  <si>
    <t>Unidade</t>
  </si>
  <si>
    <t>Salvador/BA</t>
  </si>
  <si>
    <t>153038_900172025</t>
  </si>
  <si>
    <t>2026-03-17 18:04:40</t>
  </si>
  <si>
    <t>-</t>
  </si>
  <si>
    <t>ATENDE COM RESSALVAS</t>
  </si>
  <si>
    <t>GOPE</t>
  </si>
  <si>
    <t>LAL3001</t>
  </si>
  <si>
    <t>O modelo GOPE LAL3001 atende aos requisitos funcionais e estruturais criticos do edital, consistindo em um agogo fabricado em metal (aco com acabamento cromado), estruturado com 2 campanulas (cones) integradas a uma haste central. O valor de 106.24 atende perfeitamente ao teto orcamentario de 109.20. A ressalva tecnica recai estritamente sobre a ausencia de confirmacao exata das dimensoes de 35 x 9 cm na descricao do catalogo. Por se tratar de um modelo padrao de percussao, o instrumento cumpre integralmente a finalidade exigida, sendo o correspondente adequado na fonte de pesquisa.</t>
  </si>
  <si>
    <t>Instrumento musical - percursão Instrumento Musical - Percursão Tipo: Atabaque, Material: Barrica De Madeira, Couro, Corda E Metal, Tamanho: 100 X 30CM</t>
  </si>
  <si>
    <t>ATABAQUES (TRIO) Instrumento Musical - Percursão, Tipo: Atabaque, Material: Barrica De Madeira, Couro, Corda E Metal, Tamanho: 100 X 30 CM. ADENDO: Atabaques com tripés - 2 trios com pés, 2 rum - 100cm/aro 13/boca 30,; 2 rumpi - 85 cm, altura /aro 12/boca 27; 2 lé - 70 cm/aro 11/boca 25; madeira massaranduba ou ipê / pele couro de boi.</t>
  </si>
  <si>
    <t>LAL3017 / LAL3018 / LAL3019</t>
  </si>
  <si>
    <t>O catalogo nao dispoe de um kit ou trio pre-montado de atabaques. A solucao funcional viavel e a composicao dos modelos avulsos da GOPE (LAL3017, LAL3018 e LAL3019), que oferecem tres tamanhos distintos (80cm/10 pol, 90cm/11 pol e 100cm/12 pol) com afinacao por cordas e pele de couro de boi, atendendo a necessidade funcional do trio (Rum, Rumpi e Le). As ressalvas recaem sobre as pequenas divergencias dimensionais em relacao ao exigido (exigido 13 pol no maior) e a nao especificacao do tipo exato de madeira (o catalogo cita madeira macica sem cravar massaranduba ou ipe). Alem disso, o fornecimento exige a adicao de 3 suportes de chao avulsos (GOPE LAL3020, cotados a 156.87 cada). A principal ressalva e a grave defasagem orcamentaria: o custo total do conjunto nas fontes atinge 3115.86 reais (3 atabaques + 3 suportes), valor substancialmente superior ao teto estipulado.</t>
  </si>
  <si>
    <t>Violacao ao Art. 18 da Lei 14.133/21. Constata-se grave defasagem na pesquisa de precos. O teto orcamentario de 1734.98 reais para um trio completo de atabaques com suportes em madeira macica e pele animal apresenta-se financeiramente inexequivel frente a realidade de mercado. Adicionalmente, a luz do Art. 41, I, a exigencia de tipos especificos de madeira (massaranduba ou ipe) restringe indevidamente o certame. Cabe impugnacao para readequacao dos valores estimados e ampliacao da especificacao tecnica.</t>
  </si>
  <si>
    <t>Instrumento Musical - Percursão Instrumento Musical - Percursão Tipo: Bateria, Componentes: 1 Pad De Caixa, 3 Pads De Tons, 2 Pads De Pratos,, Características Adicionais: Eletrônica, Com Suporte/Estante, Com Pedal, Com Es</t>
  </si>
  <si>
    <t>BATERIA - INSTRUMENTO MUSICAL Instrumento Musical - Percursão, Tipo: Bateria, Componentes: 1 Pad De Caixa, 3 Pads De Tons, 2 Pads De Pratos, Características Adicionais: Eletrônica, Com Suporte/Estante, Com Pedal, Com Es. ADENDO: Bateria pearl, modelo export exx: cascos- poplar/asian mahogany (folha interna); caixa-nas mesmas madeiras e padrão; aros-tradicionais (1.6 mm); acabamento-revestimento de alta resistência; peles-remo clear (tons e surdos);remo power stroke (bumbo);remo ambassador (caixa), com kit de ferragens pearl hwp-830 e kit de pratos zildjian avedis a-series, modelo: a series a 0391</t>
  </si>
  <si>
    <t>Pearl Export EXX / Zildjian A-Series</t>
  </si>
  <si>
    <t>VANRAL</t>
  </si>
  <si>
    <t>NY - 2TE 51025</t>
  </si>
  <si>
    <t>O edital apresenta grave contradicao tecnica: a descricao principal solicita uma bateria eletronica com pads, enquanto o adendo exige uma bateria acustica de categoria premium (Pearl Export com pratos Zildjian e peles Remo). Ademais, o teto orcamentario de 1817.67 e totalmente incompativel e inexequivel para a especificacao do adendo, cujo valor de mercado ultrapassa os 15 mil reais. O modelo VANRAL NY - 2TE 51025 atua como a unica alternativa comercialmente viavel nas fontes, consistindo em uma bateria acustica completa de 5 pecas (com ferragens e pratos) que atende estritamente ao limite orcamentario imposto, suprindo a funcionalidade basica de bateria acustica exigida no adendo.</t>
  </si>
  <si>
    <t>Violacao ao Art. 18 e Art. 41, I, da Lei 14.133/21. Constata-se grave falha na descricao do objeto, que mistura especificacoes inconciliaveis de bateria eletronica com acustica, gerando total falta de clareza. Ha evidente direcionamento e exigencia exclusiva de marcas de grife (Pearl, Remo, Zildjian) sem o acompanhamento da expressao 'ou equivalente', restringindo indevidamente a competicao. Somado a isso, o teto orcamentario e flagrantemente inexequivel para os modelos importados solicitados, evidenciando erro crasso na pesquisa de precos. Exige-se impugnacao imediata para correcao do descritivo e readequacao a realidade mercadologica.</t>
  </si>
  <si>
    <t>Instrumento Musical - Corda Instrumento Musical - Corda Componentes: Com 4 Cordas E Capa, Tipo: Contrabaixo Elétrico</t>
  </si>
  <si>
    <t>CONTRABAIXO Instrumento musical - corda componentes: com 4 cordas e capa. Tipo: contrabaixo elétrico</t>
  </si>
  <si>
    <t>MEMPHIS</t>
  </si>
  <si>
    <t>MB-100 OWH</t>
  </si>
  <si>
    <t>O modelo MEMPHIS MB-100 atende aos requisitos funcionais criticos, sendo um contrabaixo eletrico passivo de 4 cordas. As ressalvas recaem sobre a ausencia de mencao a uma capa inclusa na embalagem de fabrica e a defasagem orcamentaria, uma vez que o valor do instrumento basico nas fontes (1015.81 reais) ja supera o teto estipulado de 988.17 reais. A adicao de uma capa avulsa elevaria ainda mais o custo comercial do conjunto.</t>
  </si>
  <si>
    <t>Violacao ao Art. 18 da Lei 14.133/21. Constata-se defasagem na pesquisa de precos, uma vez que o teto orcamentario de 988.17 reais e insuficiente para a aquisicao de um contrabaixo eletrico de entrada acompanhado de capa. O modelo compativel mais economico nas fontes de pesquisa supera o valor estimado de forma isolada, sem os acessorios. Requer-se a revisao do valor de referencia para garantir a exequibilidade do item e viabilizar a competicao.</t>
  </si>
  <si>
    <t>Instrumento musical - corda Instrumento Musical - Corda Componentes: Com Corpo Em Basswood, Braço Em Maple, Tipo: Guitarra Elétrica</t>
  </si>
  <si>
    <t>GUITARRA Instrumento musical - corda componentes: com corpo em basswood, braço em maple, tipo: guitarra elétrica</t>
  </si>
  <si>
    <t>Thomaz</t>
  </si>
  <si>
    <t>TEG 300</t>
  </si>
  <si>
    <t>O modelo Thomaz TEG 300 atende aos requisitos funcionais e ao teto orcamentario estipulado, consistindo em uma guitarra eletrica com braco em maple. A ressalva tecnica recai exclusivamente sobre a madeira do corpo, que e fabricado em Poplar ao inves de Basswood. Na engenharia de construcao de instrumentos de entrada, o Poplar atua como o equivalente funcional direto do Basswood, apresentando densidade, peso e propriedades acusticas muito semelhantes. Os modelos com corpo estritamente em Basswood disponiveis no catalogo (ex: Tagima TG-500) custam a partir de 957.76 reais, o que os torna comercialmente inexequiveis frente ao valor maximo de 716.71 reais. Portanto, a substituicao pelo modelo em Poplar e a unica solucao viavel e aderente ao certame.</t>
  </si>
  <si>
    <t>AGOGO Instrumento musical - percussão, tipo: agogo, material: metal, componentes: 2 cones e 1 haste, tamanho: 35 x 9 cm.</t>
  </si>
  <si>
    <t>LIVERPOOL</t>
  </si>
  <si>
    <t>AG DGC</t>
  </si>
  <si>
    <t>O modelo LIVERPOOL AG DGC atende aos requisitos funcionais e estruturais criticos, consistindo em um agogo fabricado em metal (aco cromado), estruturado com 2 campanulas de tamanhos diferentes unidas por uma haste. O valor enquadra-se no teto estipulado. A ressalva tecnica recai estritamente sobre a ausencia de confirmacao exata das dimensoes na fonte de pesquisa. Por se tratar de um modelo de tamanho grande na linha do fabricante, o instrumento atua como o equivalente dimensional e funcional mais proximo, cumprindo integralmente a finalidade.</t>
  </si>
  <si>
    <t>Instrumento musical - percursão Instrumento Musical - Percursão Tipo: Triângulo, Material: Aço Cromado, Componentes: Batedor E Corda, Tamanho: 25CM, Características Adicionais: Batedor Com Cabo Revestido</t>
  </si>
  <si>
    <t>TRIÂNGULO Instrumento musical - percussão, tipo: triângulo, material: aço cromado, componentes: batedor e corda, tamanho: 25 cm, características adicionais: batedor com cabo revestido.</t>
  </si>
  <si>
    <t>LUEN 2025</t>
  </si>
  <si>
    <t>19015</t>
  </si>
  <si>
    <t>O modelo LUEN 2025 19015 atende aos requisitos funcionais e dimensionais criticos do edital, consistindo em um triangulo de 25cm fabricado em aco macico, acompanhado de cordao de suspensao e batedor metalico. O valor de 28.01 enquadra-se perfeitamente no teto orcamentario de 35.96 reais. As ressalvas tecnicas recaem sobre detalhes acessorios: o catalogo nao especifica se o acabamento do aco e cromado, tampouco se o batedor possui revestimento no cabo. Por se tratarem de exigencias esteticas e ergonomicas secundarias que nao comprometem a finalidade acustica ou estrutural do instrumento, o item e considerado o correspondente funcional e comercialmente viavel para o certame.</t>
  </si>
  <si>
    <t>Instrumento Musical - Percursão Instrumento Musical - Percursão Tipo: Bateria, Componentes: 3 Tons E 2 Surdos Set Up: Tons: 8 / 10 / 12, Características Adicionais: Com Banco, Com Estante, 2 Girafas, Com Pratos</t>
  </si>
  <si>
    <t>BATERIA C/ BANCO Instrumento musical - percursão tipo: bateria, componentes: 3 tons e 2 surdos set up: tons: 8"" / 10"" / 12""&amp;, características adicionais: com banco, com estante, 2 girafas, com pratos.</t>
  </si>
  <si>
    <t>NY - 2T PRSP SPARKLE</t>
  </si>
  <si>
    <t>O catalogo nao dispoe de uma bateria com a configuracao superdimensionada exigida (7 pecas no total, sendo 3 tons e 2 surdos) acompanhada de kit completo de ferragens (2 estantes girafas) e pratos. O modelo VANRAL NY - 2T PRSP SPARKLE atua como a unica alternativa funcional e comercialmente viavel nas fontes, consistindo em uma bateria acustica padrao de 5 pecas (2 tons, 1 surdo, bumbo e caixa) que atende estritamente ao limite orcamentario imposto, suprindo a funcionalidade basica exigida com pratos, banco e ferragens. A ressalva tecnica recai sobre a reducao do numero de tambores e estantes. Destaca-se, sob a otica da engenharia de custos, que baterias com 3 tons e 2 surdos sao configuracoes premium ou customizadas cujo valor de mercado supera drasticamente o teto estipulado (como parametro, shell packs de 6 pecas no catalogo, sem ferragens e pratos, ultrapassam 12 mil reais).</t>
  </si>
  <si>
    <t>Violacao ao Art. 18 da Lei 14.133/21. Constata-se grave erro na pesquisa de precos. O teto orcamentario de 2706.67 reais e flagrantemente inexequivel para a aquisicao de uma bateria acustica de 7 pecas (3 tons e 2 surdos) equipada com banco, pratos e ferragens completas. A defasagem entre a complexidade do arranjo exigido e o valor de referencia compromete a exequibilidade comercial do item e frustra a competicao. Torna-se mandatoria a aceitacao da bateria padrao de 5 pecas sugerida para viabilizar o certame, ou a imediata impugnacao para readequacao orcamentaria.</t>
  </si>
  <si>
    <t>Instrumento musical - corda Instrumento Musical - Corda Componentes: Verga De Biriba, Arame De Aço, Barbantes, Cabeça,, Comprimento: 1,55M, Tipo: Berimbau</t>
  </si>
  <si>
    <t>INSTRUMENTO MUSICAL - CORDA - BERIMBAU GRANDE Instrumento musical - corda, componentes verga de biriba, arame de aço, barbantes, cabeça, comprimento 1,55, tipo berimbau. Contendo: arco também chamado de verga, de madeira biriba, acompanhada da corda, também chamada de arame, cabaça, caxixi, baqueta e dovbrão. Tamanho grande (gunga)</t>
  </si>
  <si>
    <t>LAL3021</t>
  </si>
  <si>
    <t>O modelo GOPE LAL3021 atende aos requisitos funcionais criticos, sendo um berimbau profissional fabricado com verga de biriba, cabaca natural, arame de aco, acompanhado de baqueta e caxixi. O valor de 92.59 atende perfeitamente ao teto orcamentario de 177.10 reais. As ressalvas tecnicas recaem estritamente sobre a ausencia de confirmacao exata do comprimento de 1,55m e da classificacao de tamanho (Gunga) no catalogo da fonte, bem como a nao mencao expressa ao dobrao no kit. Tratando-se de um instrumento profissional para capoeira, atua como o equivalente funcional viavel e economico para a categoria.</t>
  </si>
  <si>
    <t>INSTRUMENTO MUSICAL - CORDA - BERIMBAU PEQUENO Instrumento musical - corda, componentes verga de biriba, arame de aço, barbantes, cabeça, comprimento 1,55, tipo berimbau contendo: arco também chamado de verga, de madeira biriba, acompanhada da corda, também chamada de arame, cabaça, caxixi, baqueta e dovbrão. Tamanho pequeno (viola).</t>
  </si>
  <si>
    <t>O modelo GOPE LAL3021 atende aos requisitos funcionais criticos, sendo um berimbau profissional fabricado com verga de biriba, cabaca natural e arame de aco temperado, acompanhado de baqueta e caxixi. O valor de 92.59 atende perfeitamente ao teto orcamentario de 154.70 reais. As ressalvas tecnicas recaem estritamente sobre a ausencia de confirmacao exata do comprimento de 1,55m e da classificacao especifica de tamanho (Viola/Pequeno) no catalogo da fonte, bem como a nao mencao expressa ao dobrao no kit. Tratando-se de um instrumento profissional padrao para capoeira, atua como o equivalente funcional viavel e economico para a categoria.</t>
  </si>
  <si>
    <t>Instrumento musical - percursão Instrumento Musical - Percursão Tipo: Caxixi, Material: Palha, Tamanho: 6,50 X 14 X 6,50CM, Características Adicionais: Fundo Cabaça Tratada E Sementes</t>
  </si>
  <si>
    <t>INSTRUMENTO MUSICAL - PERCURSÃO, TIPO CAXIXI Instrumento musical - percursão, tipo caxixi, material palha, tamanho 6,50 x 14 x 6,50cm, características adicionais fundo cabaça tratada e sementes.</t>
  </si>
  <si>
    <t>LAL405</t>
  </si>
  <si>
    <t>O modelo GOPE LAL405, categorizado no catalogo como 'chocalho de cesto', atende a funcionalidade critica exigida, atuando como o equivalente direto do caxixi tradicional para capoeira e samba. O valor de 25.00 reais enquadra-se com grande margem no teto orcamentario de 142.10 reais. As ressalvas tecnicas recaem sobre a variacao dimensional (o catalogo informa altura aproximada de 13cm, divergindo dos 14cm solicitados) e a composicao dos materiais: o edital exige palha, fundo de cabaca e sementes naturais, enquanto o modelo cotado utiliza fibra sintetica trancada, base rigida e preenchimento com contas. Na engenharia moderna de instrumentos de percussao, o uso de fibra sintetica e contas atua como uma equivalencia funcional e um upgrade tecnologico aos materiais organicos, proporcionando a mesma identidade sonora (som agudo e definido) com durabilidade e resistencia a intemperies significativamente superiores.</t>
  </si>
  <si>
    <t>Instrumento musical - percursão Instrumento Musical - Percursão Tipo: Cajon Acústico, Material: Madeira, Características Adicionais: Assento Acolchoado</t>
  </si>
  <si>
    <t>INSTRUMENTO MUSICAL, CAJON ACÚSTICO Instrumento musical - percussão, tipo: cajon acústico, material: madeira, características adicionais: assento acolchoado.</t>
  </si>
  <si>
    <t>47006</t>
  </si>
  <si>
    <t>O modelo LUEN 2025 47006 atende aos requisitos funcionais e estruturais criticos do edital, consistindo em um cajon acustico fabricado em madeira com tampo de ressonancia selecionado. O equipamento dispoe de assento em E.V.A., que atua na engenharia de construcao como o equivalente funcional e ergonomico padrao de mercado para a exigencia de assento acolchoado. A unica ressalva tecnica recai sobre a defasagem orcamentaria, visto que o valor do item no catalogo (625.16 reais) excede o teto estipulado de 595.00 reais. O modelo sugerido atua como a opcao mais economica e compativel disponivel nas fontes de pesquisa.</t>
  </si>
  <si>
    <t>Violacao ao Art. 18 da Lei 14.133/21. O edital apresenta discrepancia entre a especificacao exigida e o teto orcamentario maximo de 595.00 reais. O valor estimado apresenta-se inexequivel para a realidade de mercado, onde o modelo compativel mais economico nas fontes cotadas possui valor superior ao orcado. Tal defasagem compromete a exequibilidade do item e frustra o carater competitivo do certame. Requer-se a revisao do valor de referencia para viabilizar a licitacao.</t>
  </si>
  <si>
    <t>Instrumento musical - percursão Instrumento Musical - Percursão Tipo: Ganzá, Material: Alumínio, Tamanho: 21 X 5,5CM</t>
  </si>
  <si>
    <t>INSTRUMENTO MUSICAL, GANZÁ Instrumento musical - percussão, tipo: ganzá, material: alumínio, tamanho: 21 x 5,5 cm.</t>
  </si>
  <si>
    <t>GC 200</t>
  </si>
  <si>
    <t>O modelo LIVERPOOL GC 200 atende aos requisitos funcionais criticos do edital, consistindo em um ganza cilindrico fabricado em aluminio. O valor de 35.79 reais enquadra-se perfeitamente no teto orcamentario de 41.53 reais. A ressalva tecnica recai estritamente sobre uma minima variacao dimensional: o catalogo especifica 20 x 5 cm (200mm x 50mm), enquanto o edital solicita 21 x 5.5 cm. Na engenharia de instrumentos de percussao, esta leve diferenca milimetrica atua como uma variacao de fabricacao padrao de mercado que nao altera o timbre, o volume ou a ergonomia da conducao ritmica, configurando o equivalente funcional direto e a opcao mais adequada disponivel nas fontes de pesquisa.</t>
  </si>
  <si>
    <t>Instrumento musical - percursão Instrumento Musical - Percursão Tipo: Pandeiro, Material: Madeira/Pele, Tamanho: 6POL</t>
  </si>
  <si>
    <t>INSTRUMENTO MUSICAL, PANDEIRO Instrumento musical - percussão, tipo: pandeiro, material: madeira/pele, tamanho: 6 pol.</t>
  </si>
  <si>
    <t>60189</t>
  </si>
  <si>
    <t>O catalogo nao possui pandeiros de 6 polegadas, dimensao considerada fora do padrao profissional ou de estudo (frequentemente associada a brinquedos). O modelo LUEN 2025 60189 atua como o equivalente funcional e estrutural mais proximo disponivel, consistindo em um pandeiro de 8 polegadas fabricado estritamente nos materiais exigidos: corpo em madeira e pele animal (cabra). A ressalva recai sobre a divergencia dimensional (8 polegadas no lugar de 6) e a grave defasagem orcamentaria, visto que o valor do instrumento compativel nas fontes (197.42 reais) supera drasticamente o teto estipulado de 76.71 reais.</t>
  </si>
  <si>
    <t>Violacao ao Art. 18 da Lei 14.133/21. Constata-se erro grosseiro na pesquisa de precos e na especificacao do objeto. A exigencia de um pandeiro de 6 polegadas (tamanho atipico/infantil) associada a materiais nobres (madeira e pele animal) por um teto de apenas 76.71 reais torna o item materialmente e financeiramente inexequivel. A aceitacao do padrao de mercado de 8 polegadas e mandatoria para viabilizar o certame, exigindo-se a imediata revisao do valor de referencia.</t>
  </si>
  <si>
    <t>Instrumento musical - percursão Instrumento Musical - Percursão Tipo: Pandeiro, Material: Sintético, Tamanho: 10POL, Características Adicionais: Meia Lua</t>
  </si>
  <si>
    <t>INSTRUMENTO MUSICAL, PANDEIRO, MEIA LUA Instrumento musical - percussão, tipo: pandeiro, material: sintético, tamanho: 10 pol, características adicionais: meia lua.</t>
  </si>
  <si>
    <t>40070PT</t>
  </si>
  <si>
    <t>O modelo LUEN 2025 40070PT atende aos requisitos funcionais criticos do edital, consistindo em um pandeiro formato meia-lua (pandeirola) construido em material sintetico (plastico ABS de alta resistencia) com platinelas em aco inox. O valor de 28.39 reais enquadra-se perfeitamente no teto orcamentario de 36.67 reais. A ressalva tecnica recai estritamente sobre a ausencia de confirmacao exata da dimensao de 10 polegadas na descricao do catalogo. Na engenharia de instrumentos de percussao, este formato atua como o padrao de mercado adulto (tipicamente 25cm ou 10 polegadas de envergadura), configurando o equivalente funcional direto e a opcao comercialmente viavel para o certame.</t>
  </si>
  <si>
    <t>Instrumento musical - percursão Instrumento Musical - Percursão Tipo: Repique, Material: Alumínio, Componentes: 06 Afinadores, Pele De Nylon, Tamanho: 12POL</t>
  </si>
  <si>
    <t>INSTRUMENTO MUSICAL, REPIQUE Instrumento musical - percussão tipo: repique, material: alumínio componentes: 06 afinadores, pele de nylon, tamanho: 12 pol.</t>
  </si>
  <si>
    <t>60049</t>
  </si>
  <si>
    <t>O modelo LUEN 2025 60049 atende aos requisitos funcionais e dimensionais criticos do edital, consistindo em um repinique (repique) de 12 polegadas equipado com 6 afinadores e pele sintetica leitosa, que atua como a correspondencia comercial direta para a exigencia de pele de nylon. O valor de 124.32 reais enquadra-se perfeitamente no teto orcamentario de 134.94 reais. A ressalva tecnica recai sobre o material do casco: o edital exige aluminio, enquanto o modelo cotado utiliza Alumisteel (uma liga que combina as propriedades acusticas e a leveza do aluminio com a resistencia estrutural do aco). Na engenharia de instrumentos de entrada, esta liga atua como a equivalencia funcional direta e mais viavel, cumprindo integralmente a finalidade sem comprometer o timbre caracteristico do instrumento.</t>
  </si>
  <si>
    <t>Instrumento musical - percursão Instrumento Musical - Percursão Tipo: Tamborim, Material: Alumínio, Componentes: 06 Afinadores, Pele De Nylon, Tamanho: 6POL</t>
  </si>
  <si>
    <t>INSTRUMENTO MUSICAL, TAMBORIM Instrumento musical - percussão, tipo: tamborim, material: alumínio, componentes: 06 afinadores, pele de nylon, tamanho: 6 pol.</t>
  </si>
  <si>
    <t>41001NT</t>
  </si>
  <si>
    <t>O modelo LUEN 2025 41001NT atende aos requisitos criticos funcionais e estruturais do edital, consistindo em um tamborim de 6 polegadas fabricado com corpo em aluminio e equipado com 6 afinadores. O valor de 80.19 reais enquadra-se no teto orcamentario de 83.07 reais. A unica ressalva tecnica recai sobre a terminologia da pele: o catalogo descreve a pele como 'leitosa' (sintetica), que na engenharia de instrumentos de percussao atua como o equivalente funcional e comercial direto da exigencia de 'pele de nylon', oferecendo a mesma durabilidade, resistencia a alta tensao e o timbre agudo e cortante exigido para o instrumento.</t>
  </si>
  <si>
    <t>Instrumento musical - corda Instrumento Musical - Corda Componentes: Com 4 Cordas E Capa, Tipo: Ukulele</t>
  </si>
  <si>
    <t>INSTRUMENTO MUSICAL, UKULELE Instrumento musical - corda, componentes: com 4 cordas e capa, tipo: ukulele. Adendo: cordas náilon.</t>
  </si>
  <si>
    <t>BENSON</t>
  </si>
  <si>
    <t>UB-21</t>
  </si>
  <si>
    <t>O modelo BENSON UB-21 atende aos requisitos funcionais criticos do edital, consistindo em um ukulele soprano acustico de 4 cordas. O instrumento e equipado de fabrica com encordoamento Aquila Super Nylgut, que na engenharia de construcao atua como o equivalente funcional direto e tecnicamente superior as cordas de nailon padrao exigidas. A primeira ressalva recai sobre a ausencia de capa de transporte inclusa na embalagem de fabrica deste modelo (o modelo equivalente com bag inclusa, UB-21-B, e cotado a 220.05 reais). A principal ressalva e a defasagem orcamentaria: o valor do instrumento basico nas fontes (186.94 reais) ja supera ligeiramente o teto estipulado de 185.07 reais, sem sequer computar o custo do acessorio exigido (capa).</t>
  </si>
  <si>
    <t>Violacao ao Art. 18 da Lei 14.133/21. Constata-se defasagem na pesquisa de precos. O teto orcamentario de 185.07 reais e insuficiente para a aquisicao de um ukulele acompanhado de capa, uma vez que o modelo compativel mais economico nas fontes de pesquisa supera o valor estimado de forma isolada. Requer-se a revisao do valor de referencia para garantir a exequibilidade material e financeira do item e viabilizar a competicao no certame.</t>
  </si>
  <si>
    <t>Instrumento Musical - Percursão Instrumento Musical - Percursão Tipo: Maracá, Material: Madeira, Tamanho: 10 X 10 X 35CM</t>
  </si>
  <si>
    <t>MARACÁ DE MADEIRA Tipo: maracá material: madeira tamanho: 10 x 10 x 35 cm</t>
  </si>
  <si>
    <t>NY</t>
  </si>
  <si>
    <t>00261</t>
  </si>
  <si>
    <t>O modelo NY 00261 atende aos requisitos funcionais e de materiais criticos do edital, consistindo em um par de maracas fabricado integralmente em madeira macica. O valor de 48.11 reais enquadra-se no teto orcamentario de 60.18 reais. A ressalva tecnica recai estritamente sobre o comprimento do instrumento, que possui 25 cm em vez dos 35 cm solicitados. Na engenharia de instrumentos de percussao, 25 cm atua como o padrao comercial adulto de mercado, configurando o equivalente funcional direto e a opcao comercialmente viavel disponivel nas fontes para o certame.</t>
  </si>
  <si>
    <t>Instrumento musical - percursão Instrumento Musical - Percursão Tipo: Pandeiro, Material: Madeira, Couro E Metal, Tamanho: 10POL</t>
  </si>
  <si>
    <t>PANDEIRO Instrumento Musical - Percursão, Tipo: Pandeiro, Material: Madeira, Couro E Metal, Tamanho: 10 POL. ADENDO: Pele leitosa.</t>
  </si>
  <si>
    <t>60045PT</t>
  </si>
  <si>
    <t>O modelo LUEN 2025 60045PT atende aos requisitos funcionais e dimensionais criticos do edital, consistindo em um pandeiro de 10 polegadas equipado com pele sintetica leitosa e platinelas em metal, conforme exigido no adendo. O valor de 54.17 reais enquadra-se perfeitamente no teto orcamentario de 68.54 reais. A ressalva tecnica recai sobre o material do corpo: o edital exige madeira e couro, mas o proprio adendo modifica o pedido para pele leitosa (sintetica), enquanto o modelo cotado e fabricado com corpo em plastico ABS de alta resistencia. Na engenharia de instrumentos de percussao, o ABS atua como o equivalente funcional padrao para este limite orcamentario, oferecendo excelente durabilidade e afinacao estavel. Destaca-se que pandeiros de 10 polegadas com corpo em madeira legitima disponiveis nas fontes possuem valor de mercado muito superior (a partir de 199.41 reais), tornando o modelo em ABS a unica alternativa funcional e comercialmente viavel para o certame.</t>
  </si>
  <si>
    <t>PANDEIRO, TAMANHO 10" Instrumento Musical - Percursão, Tipo: Pandeiro, Material: Madeira, Couro E Metal Tamanho: 10 POL. ADENDO: corpo madeira envernizada, acabamento cromado - tarraxa simples, medidas 330mm x 380mm x 60 mm, peso 550 gramas.</t>
  </si>
  <si>
    <t>40067MD</t>
  </si>
  <si>
    <t>O catalogo nao dispoe de pandeiros de 10 polegadas fabricados em madeira legitima envernizada que se enquadrem no teto orcamentario de 136.03 reais (modelos com corpo em madeira nas fontes partem de 199.41 reais). Como equivalente funcional e comercialmente viavel, o modelo LUEN 2025 40067MD atende a dimensao critica (10 polegadas), ao tipo de pele exigido (couro animal) e ao hardware de afinacao. A ressalva tecnica recai exclusivamente sobre a composicao do corpo: fabricado em polimero ABS de alta resistencia com acabamento estetico em padrao fibra amadeirada, substituindo a madeira envernizada. Na engenharia de instrumentos de percussao para este estrato de preco, o ABS atua como o equivalente funcional padrao, oferecendo maior estabilidade estrutural e garantindo a exequibilidade do item frente ao valor estipulado.</t>
  </si>
  <si>
    <t>Violacao ao Art. 18 da Lei 14.133/21. Constata-se notoria defasagem na pesquisa de precos, uma vez que o teto orcamentario de 136.03 reais e flagrantemente insuficiente para a aquisicao de um pandeiro de 10 polegadas estruturado em madeira macica legitima e couro animal. A exigencia de madeira legitima associada a este valor torna o certame inexequivel e frustra a competitividade. Requer-se a aceitacao do modelo em ABS amadeirado sugerido ou a imediata revisao dos valores de referencia.</t>
  </si>
  <si>
    <t>Piano Piano Tipo: Digital, Modelo: Portátil, Tecla: 88 Teclas, Tipo Som: Polifonia 256, Acessórios: S/ Banqueta, C/ Pedal</t>
  </si>
  <si>
    <t>PIANO DIGITAL Piano, tipo: digital, modelo: portátil, tecla: 88 teclas, tipo som: polifonia 256, acessórios: s/ banqueta, c/ pedal.</t>
  </si>
  <si>
    <t>YAMAHA</t>
  </si>
  <si>
    <t>P-45B</t>
  </si>
  <si>
    <t>O catalogo nao possui piano digital portatil com 88 teclas e polifonia de 256 notas dentro do teto orcamentario estipulado. A exigencia de polifonia 256 e caracteristica de pianos premium, cujos valores ultrapassam 14 mil reais nas fontes (ex: Yamaha P-525). O modelo YAMAHA P-45B atua como a alternativa de mercado mais compativel, consistindo em um piano digital portatil com 88 teclas com acao de martelo (GHS). A ressalva tecnica recai sobre a reducao da polifonia para 64 notas e a grave defasagem orcamentaria, visto que o valor do instrumento de entrada nas fontes (2700.00 reais) supera drasticamente o teto de 1782.67 reais.</t>
  </si>
  <si>
    <t>Violacao ao Art. 18 da Lei 14.133/21. Constata-se erro grosseiro na pesquisa de precos e incompatibilidade tecnica. O teto orcamentario de 1782.67 reais e flagrantemente inexequivel para a aquisicao de um piano digital portatil de 88 teclas, sendo materialmente impossivel atender a exigencia de polifonia de 256 notas neste patamar de valor (especificacao exclusiva de modelos high-end). A defasagem compromete a exequibilidade comercial do item e frustra a competicao. Requer-se a aceitacao do modelo de 64 notas de polifonia sugerido e a imediata revisao do valor de referencia para viabilizar o certame.</t>
  </si>
  <si>
    <t>Instrumento musical - percursão Instrumento Musical - Percursão Tipo: Reco-Reco, Material: Madeira / Bambu, Tamanho: 35 X 6CM</t>
  </si>
  <si>
    <t>RECO RECO Instrumento Musical - Percursão, Tipo: Reco-Reco, Material: Madeira / Bambu, Tamanho: 35 X 6 CM. Adendo: Em alumínio com duas molas.</t>
  </si>
  <si>
    <t>RRAL 2M</t>
  </si>
  <si>
    <t>O modelo LIVERPOOL RRAL 2M atende aos requisitos funcionais e de materiais criticos estabelecidos pelo adendo do edital, consistindo em um reco-reco fabricado em aluminio polido e equipado com 2 molas de aco tensionadas, acompanhado de baqueta metalica. O valor de 63.10 reais enquadra-se no teto orcamentario de 64.79 reais. A unica ressalva recai sobre a ausencia de confirmacao exata das dimensoes de 35 x 6 cm na descricao do catalogo. Na engenharia de instrumentos de percussao, os modelos padrao de 2 molas em aluminio possuem dimensoes comerciais compativeis com esta especificacao para garantir a ressonancia e ergonomia exigidas, atuando como o equivalente funcional direto e a opcao perfeitamente adequada para o certame.</t>
  </si>
  <si>
    <t>Instrumento musical - percursão Instrumento Musical - Percursão Tipo: Surdo, Material: Alumínio, Tamanho: 22POL, Características Adicionais: Canoas Com Trava De Afinação</t>
  </si>
  <si>
    <t>SURDO DE PRIMEIRA Instrumento Musical - Precursão, Tipo: Surdo, Tamanho: 22 POL, Características Adicionais: Canoas Com Trava De Afinação. ADENDO: Surdos de primeira - surdo 169c casco alumínio, material do aro aço cromado, 20" polegadas, medidas 54 cm x 63 cm (sem embalagem), 10 afinações, tirante em aço com porcas em aço, tipo de pele napa na parte superior e leitosa na parte inferior, cor cromado, conteúdo da embalagem 01 surdo e 01 chave de afinação.</t>
  </si>
  <si>
    <t>60032</t>
  </si>
  <si>
    <t>O modelo LUEN 2025 60032 atende aos requisitos funcionais criticos, consistindo em um surdo de marcacao (primeira) de 20 polegadas equipado com 10 afinadores (canoas). O valor de 358.90 reais enquadra-se no teto orcamentario de 367.68 reais. As ressalvas tecnicas recaem sobre adaptacoes necessarias devido ao limite de preco: o corpo e fabricado em Alumisteel (equivalente estrutural padrao de mercado para o aluminio nesta faixa) com ferragens pretas em vez de cromadas. Alem disso, o instrumento e equipado de fabrica com pele sintetica leitosa, visto que as peles de napa em surdos de 20 polegadas sao caracteristicas de linhas com valores superiores (cotadas acima de 640 reais nas fontes). As dimensoes de 45 cm de profundidade atuam como o padrao comercial para garantir a exequibilidade do item frente ao orcamento estipulado.</t>
  </si>
  <si>
    <t>Instrumento musical - percursão Instrumento Musical - Percursão Tipo: Surdo, Material: Aço Inox, Componentes: Talabarte E Baquetas, Tamanho: 18 X 45CM, Características Adicionais: Aro Bola Cromado E Pele Leitosa</t>
  </si>
  <si>
    <t>SURDO DE SEGUNDA Instrumento Musical - Precursão, Tipo: Surdo, Material: Aço Inox, Componentes: Talabarte E Baquetas, Tamanho: 18" X 45 CM, Características Adicionais: Aro Bola Cromado E Pele Leitosa. ADENDO: Surdo de segunda - surdo bahia axé 40x22, corpo alumínio, ferragem cromada, pele leitosa.</t>
  </si>
  <si>
    <t>60092BCR</t>
  </si>
  <si>
    <t>O modelo LUEN 2025 60092BCR atende aos requisitos funcionais e dimensionais criticos estabelecidos no adendo, consistindo em um surdo de 22 polegadas com 45 cm de profundidade (equivalente comercial padrao para a exigencia de 40 cm na linha axe/bahia). O instrumento e equipado com pele leitosa e ferragens cromadas (aro bola), conforme estritamente solicitado. As ressalvas tecnicas recaem sobre o material do corpo: o adendo exige aluminio puro, enquanto o modelo e fabricado em Alumisteel, liga que atua na engenharia de construcao como o equivalente estrutural direto. Alem disso, a fonte nao inclui talabarte e baquetas na embalagem de fabrica. A ressalva principal e a grave defasagem orcamentaria, visto que o valor do tambor isolado nas fontes (523.55 reais) supera drasticamente o teto estipulado de 367.68 reais.</t>
  </si>
  <si>
    <t>Violacao ao Art. 18 da Lei 14.133/21. Constata-se notoria defasagem na pesquisa de precos. O teto orcamentario de 367.68 reais e flagrantemente inexequivel para a aquisicao de um surdo de 22 polegadas com ferragens cromadas, visto que o valor de mercado do instrumento isolado (523.55 reais) ja supera amplamente o limite estimado, sem sequer computar o custo dos acessorios exigidos (talabarte e baquetas). A manutencao desta incompatibilidade financeira frustra o carater competitivo do certame. Requer-se a aceitacao do modelo sugerido ou a imediata revisao dos valores de referencia para refletir a realidade comercial.</t>
  </si>
  <si>
    <t>Instrumento musical - percursão Instrumento Musical - Percursão Tipo: Surdo, Material: Alumínio, Tamanho: 24POL, Características Adicionais: Canoas Com Trava De Afinação</t>
  </si>
  <si>
    <t>SURDO DE TERCEIRA Instrumento Musical - Percursão, Tipo: Surdo, Material: Alumínio, Tamanho: 24 POL, Características Adicionais: Canoas Com Trava De Afinação. Adendo: Surdo de terceira - surdo 24x60 corpo em madeira clara natural, corpo em alumínio, tamanho 24" x 50cm, ferragem cromadas, pele nylon leitosa e pele couro animal.</t>
  </si>
  <si>
    <t>60055BCR</t>
  </si>
  <si>
    <t>O modelo LUEN 2025 60055BCR atende as dimensoes criticas de 24 polegadas com 60 cm de profundidade e as ferragens cromadas exigidas no adendo. As ressalvas tecnicas recaem primariamente sobre a descricao contraditoria do edital, que solicita simultaneamente corpo em madeira e aluminio, bem como profundidades conflitantes (60cm e 50cm). O modelo sugerido utiliza Alumisteel (equivalente estrutural padrao para o aluminio) e e equipado de fabrica com peles leitosas (nylon), visto que a combinacao de couro animal de um lado e nylon do outro de fabrica nao e padrao comercial. A ressalva principal e a grave defasagem orcamentaria, pois o instrumento de 24 polegadas com ferragens cromadas nas fontes de pesquisa (633.69 reais) supera drasticamente o teto estipulado de 384.96 reais.</t>
  </si>
  <si>
    <t>Violacao ao Art. 18 da Lei 14.133/21. Constata-se falha na pesquisa de precos e falta de clareza no descritivo. O edital exige caracteristicas mutuamente excludentes (corpo em madeira e aluminio, tamanhos 24x60 e 24x50 no mesmo item) e estipula um teto orcamentario de 384.96 reais, valor flagrantemente inexequivel para um surdo de 24 polegadas com ferragens cromadas. A imprecisao tecnica somada a grave defasagem financeira inviabilizam a execucao material do item e frustram a competicao, exigindo a imediata revisao do valor de referencia e correcao da descricao.</t>
  </si>
  <si>
    <t>Instrumento Musical - Percursão Instrumento Musical - Percursão Tipo: Timbal, Material: Alumínio, Componentes: Ferragens Cromadas E Pele Leitosa, Tamanho: 14POL, Características Adicionais: 16 Afinações , Porca Anti-Vibração, Sistema Duplo</t>
  </si>
  <si>
    <t>TIMBAL ALUMÍNIO TIPO: TIMBAL MATERIAL: ALUMÍNIO COMPONENTES: FERRAGENS CROMADAS E PELE LEITOSA TAMANHO: 14 POL CARACTERÍSTICAS ADICIONAIS: 16 AFINAÇÕES , PORCA ANTI-VIBRAÇÃO, SISTEMA DUPLO.</t>
  </si>
  <si>
    <t>45070</t>
  </si>
  <si>
    <t>O modelo LUEN 2025 45070 atende aos requisitos funcionais, dimensionais e de materiais criticos do edital: consiste em um timbal de 14 polegadas fabricado em aluminio, equipado com 16 afinadores (garantindo a alta tensao exigida), pele sintetica leitosa e ferragens com acabamento cromado. O valor de 639.00 reais enquadra-se perfeitamente no teto orcamentario de 648.54 reais. As ressalvas tecnicas recaem estritamente sobre a ausencia de mencao expressa as caracteristicas adicionais 'porca anti-vibracao' e 'sistema duplo' na descricao da fonte. Na engenharia de construcao de instrumentos percussivos para alta tensao, o robusto sistema de 16 tirantes com ferragens de fabrica neste padrao de tambor ja atua como a garantia estrutural e o equivalente funcional necessario para manter a afinacao estavel sob alta exigencia, configurando a melhor opcao comercialmente viavel para o certame.</t>
  </si>
  <si>
    <t>TIMBAL, MADEIRA EVENIZADA Instrumento Musical - Percursão, Tipo: Timbal, Material: Alumínio, Componentes: Ferragens Cromadas E Pele Leitosa, Tamanho: 14 POL, Características Adicionais: 16 Afinações , Porca Anti- Vibração, Sistema Duplo. Adendo: Timbal - aro 14x90 de madeira com 16 tarraxas, de madeira com pele leitosa 14x90, 16 parafusos de afinação, madeira evenizada, pele leitosa, aro e 16 parafusos dourados.</t>
  </si>
  <si>
    <t>49129HB</t>
  </si>
  <si>
    <t>O modelo LUEN 2025 49129HB atende aos requisitos funcionais, estruturais e dimensionais criticos estabelecidos no adendo do edital. Consiste em um timbal de 14 polegadas por 90 cm fabricado em madeira com acabamento envernizado (Honey Burst) e equipado com os 16 afinadores exigidos para suportar alta tensao. As ressalvas tecnicas recaem sobre aspectos esteticos e configuracoes de fabrica: o modelo possui ferragens cromadas em vez de douradas e vem equipado com pele sintetica Master Tribal (equivalente funcional direto de alta performance para a exigencia de pele leitosa). Alem disso, constata-se defasagem orcamentaria, visto que o valor do instrumento compativel nas fontes (615.34 reais) excede o teto estipulado de 510.85 reais. Na engenharia de construcao, timbais de madeira com 16 afinadores e ferragens douradas representam configuracoes customizadas com valor de mercado superior, fazendo do modelo sugerido a alternativa padrao mais viavel.</t>
  </si>
  <si>
    <t>Violacao ao Art. 18 da Lei 14.133/21. Constata-se defasagem na pesquisa de precos. O teto orcamentario de 510.85 reais e insuficiente para a aquisicao de um timbal de madeira de 14x90cm com 16 afinadores, cujo modelo compativel mais economico nas fontes supera o limite estimado, mesmo utilizando ferragens cromadas padrao de mercado. A exigencia de ferragens douradas caracteriza customizacao, tornando o valor orcado ainda mais inexequivel. Requer-se a aceitacao do modelo sugerido com ferragens cromadas e a revisao do valor de referencia para refletir a realidade comercial e viabilizar a competicao.</t>
  </si>
  <si>
    <t>Instrumento musical - percursão Instrumento Musical - Percursão Tipo: Tambor, Material: Madeira/Couro, Tamanho: 16POL</t>
  </si>
  <si>
    <t>TIMBALES 14" E 15" Instrumento Musical - Percursão, Tipo: Tambor, Material: Madeira/Couro, Tamanho: 16 POL. Adendo: Timbales - m257 14" e 15", acabamento cromado, afinação tradicional, suporte cromado, resistente, com ajuste de altura e inclinador, inclui cowbel matador, suporte para cowbell, baquetas de timbale e chave de afinação.</t>
  </si>
  <si>
    <t>Matador m257</t>
  </si>
  <si>
    <t>NAO ATENDE</t>
  </si>
  <si>
    <t>Apos esgotar as buscas exata, por equivalencia funcional e por categoria, constatou-se que o catalogo nao possui o instrumento Timbales (par de tambores caracteristicos da percussao latina). As fontes apresentam apenas acessorios isolados para este instrumento, como estantes desmontaveis (ex: LUEN 2025 50004) e baquetas (ex: LUEN 2025 14006), mas nao dispoem dos tambores em si ou de qualquer equipamento que atenda a mesma funcionalidade e categoria.</t>
  </si>
  <si>
    <t>Violacao ao Art. 41, I da Lei 14.133/21 pelo direcionamento explicito de marca e modelo. As descricoes 'm257' e 'cowbel matador' remetem diretamente a linha Matador da fabricante Latin Percussion (LP), sem a utilizacao do termo obrigatorio 'ou equivalente'. Constata-se tambem Violacao ao Art. 18 devido a contradicoes tecnicas no termo de referencia (o cabecalho exige material em madeira/couro de 16 polegadas, enquanto o adendo especifica tambores metalicos cromados de 14 e 15 polegadas) e notoria defasagem orcamentaria, visto que o teto estimado de 816.19 reais e material e financeiramente inexequivel para a aquisicao de um set completo de Timbales profissionais acompanhado de ferragens e acessorios.</t>
  </si>
  <si>
    <t>Instrumento musical - corda Instrumento Musical - Corda Componentes: Com 6 Cordas, Aço, Afinador Digital, Tipo: Violão Elétrico</t>
  </si>
  <si>
    <t>VIOLÃO DE AÇO Instrumento musical - corda componentes: com 6 cordas, aço, afinador digital, tipo: violão elétrico.</t>
  </si>
  <si>
    <t>ATENDE</t>
  </si>
  <si>
    <t>THOMAZ</t>
  </si>
  <si>
    <t>TEA 412</t>
  </si>
  <si>
    <t>O modelo Thomaz TEA 412 atende integralmente aos requisitos funcionais e estruturais criticos do edital. Consiste em um violao eletroacustico de 6 cordas equipado com encordoamento de aco e sistema de pre-amplificacao ativo que inclui o afinador cromatico digital integrado exigido. O valor de 636.12 reais enquadra-se perfeitamente no teto orcamentario de 668.11 reais, configurando-se como o correspondente exato e a opcao comercialmente ideal disponivel nas fontes para o certame.</t>
  </si>
  <si>
    <t>Instrumento musical - corda Instrumento Musical - Corda Componentes: Com 6 Cordas E Estojo, Comprimento: 1,05M, Tipo: Violão</t>
  </si>
  <si>
    <t>VIOLÃO ELÉTRICO DE NYLON Instrumento musical - corda componentes: com 6 cordas e estojo, comprimento: 1,05 m, tipo: violão.</t>
  </si>
  <si>
    <t>TCG 390 EQ</t>
  </si>
  <si>
    <t>O modelo Thomaz TCG 390 EQ atende aos requisitos criticos do edital, consistindo em um violao eletroacustico de 6 cordas de nylon com tamanho 4/4 (39 polegadas, aproximadamente 1 metro, o que atende funcionalmente a exigencia de 1,05m por ser o padrao adulto de mercado). O valor de 491.56 reais enquadra-se no teto orcamentario de 580.76 reais. A ressalva tecnica recai estritamente sobre a ausencia do estojo incluso na embalagem de fabrica deste instrumento (embora capas compativeis, como o modelo Thomaz 81004, estejam disponiveis nas fontes separadamente por 43.20 reais, o que manteria o conjunto dentro do orcamento). Alem disso, o sistema de captacao e passivo, configurando o equivalente funcional padrao para garantir a exequibilidade do item nesta faixa de preco.</t>
  </si>
  <si>
    <t>Instrumento musical - sopro Instrumento Musical - Sopro Tipo: Clarineta Soprano, Acabamento Superficial: Madeira Grenadilha, Características Adicionais: Modelo Profissional, 17 Chaves, 6 Anéis, Boquilha</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</si>
  <si>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</si>
  <si>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Humaitá/AM</t>
  </si>
  <si>
    <t>160005_900012026</t>
  </si>
  <si>
    <t>YCL-650E//3</t>
  </si>
  <si>
    <t>O modelo YAMAHA YCL-650E//3 atende as exigencias estruturais e funcionais criticas do edital, consistindo em um clarinete de nivel profissional fabricado em madeira Grenadilla (Dalbergia melanoxylon) com chaves banhadas a prata. Atende perfeitamente a exigencia obrigatoria da alavanca de Mib (Eb) na mao esquerda, integrando o sistema Boehm de 18 chaves do instrumento. A unica ressalva tecnica recai sobre a grave defasagem orcamentaria, visto que o valor do instrumento compativel nas fontes de pesquisa (17500.00 reais) excede drasticamente o teto estipulado de 11911.02 reais.</t>
  </si>
  <si>
    <t>Violacao ao Art. 18 da Lei 14.133/21. Constata-se notoria defasagem na pesquisa de precos e incompatibilidade comercial. O teto orcamentario de 11911.02 reais e flagrantemente insuficiente para a aquisicao de um clarinete profissional em madeira granadilha com chaves prateadas e alavanca de Mib (Eb) obrigatoria, visto que o modelo de mercado correspondente excede amplamente o valor estimado. A manutencao desta defasagem torna o item financeiramente inexequivel e frustra a competicao. Requer-se a imediata revisao do valor de referencia, ou a exclusao da exigencia obrigatoria da alavanca de Mib, viabilizando a oferta de modelos profissionais padrao de 17 chaves que se adequem ao orcamento.</t>
  </si>
  <si>
    <t>Instrumento musical - sopro Instrumento Musical - Sopro Tipo: Saxofone Alto, Acabamento Superficial: Laqueado, Características Adicionais: Chave De F Agudo</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</si>
  <si>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</si>
  <si>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Cruzeiro do Sul/AC</t>
  </si>
  <si>
    <t>TOKAI SOPRO</t>
  </si>
  <si>
    <t>TSA-300G</t>
  </si>
  <si>
    <t>O trecho fornecido consiste na continuacao de um descritivo tecnico para saxofone. O modelo TOKAI SOPRO TSA-300G atende aos requisitos criticos extraidos do fragmento, sendo equipado com sapatilhas italianas Pisoni com ressonadores metalicos e campana ornamentada (com gravacao a laser de fabrica). O valor de 5590.00 reais enquadra-se perfeitamente no teto orcamentario de 13300.00 reais. As ressalvas recaem sobre a ausencia de mencao expressa no catalogo aos acessorios menores exigidos (palheta, alca de pescoco, escova e graxa), embora o instrumento seja fornecido com estojo e suporte basico. Assumiu-se o saxofone alto como o equivalente funcional base para o atendimento da categoria e avaliacao das especificacoes.</t>
  </si>
  <si>
    <t>Violacao ao Art. 18 da Lei 14.133/21. Constata-se descricao incompleta e fragmentada do objeto no termo de referencia, inviabilizando a correta identificacao do tipo exato de saxofone (alto, tenor, soprano) de forma autonoma. Requer-se a unificacao e clareza do descritivo para garantir a seguranca juridica e a formulacao objetiva de propostas.</t>
  </si>
  <si>
    <t>Instrumento musical - percursão Instrumento Musical - Percursão Tipo: Tumbadora Conga 11, 12, Material: Madeira, Couro E Metal, Características Adicionais: Com Suporte</t>
  </si>
  <si>
    <t>CONGAS (TRIO) Instrumento Musical - Percursão, Tipo: Tumbadora Conga 11", 12", Material: Madeira, Couro E Metal, Características Adicionais: Com Suporte. ADENDO: Congas (trio): 11" m750s + m752s 11" 3/4 + m754s 12" 1/2. Casco: 30” de siam oak, 3 lâminas. Pele: couro cru natural, aros: modificados confort, curve ii construidos de aço; ferragens: placas laterais reforçadas heart com parafudos de afinação de 5/16” e protetores de casco lp pro care, marca lp, modelo matador.</t>
  </si>
  <si>
    <t>LP Matador</t>
  </si>
  <si>
    <t>TRIO DE CONGAS 10 + 11 + 12</t>
  </si>
  <si>
    <t>O modelo NY TRIO DE CONGAS atende aos requisitos funcionais, materiais e orcamentarios do edital, consistindo em um set de tres congas em madeira (Maple) com peles de couro animal (bufalo), aros anatomicos (Comfort Curve) e acompanhadas de suportes individuais com ajuste de altura. As ressalvas recaem sobre as dimensoes dos tambores, que possuem 10, 11 e 12 polegadas, em substituicao aos 11, 11.75 e 12.5 exigidos. Na engenharia de mercado, este set atua como o equivalente funcional comercialmente viavel nas fontes frente ao teto estipulado de 3550.00 reais, uma vez que trios com dimensoes maiores e configuracoes premium nas fontes superam a faixa de 7 mil reais. Ademais, o modelo sugerido nao dispoe de patentes exclusivas da marca LP (como os protetores Pro Care).</t>
  </si>
  <si>
    <t>Violacao ao Art. 41, I e Art. 37, II da Lei 14.133/21 pelo direcionamento explicito de marca e modelo ('marca lp, modelo matador') e exigencia de caracteristicas proprietarias exclusivas ('curve ii', 'lp pro care') sem a inclusao do termo obrigatorio 'ou equivalente'. Constata-se tambem Violacao ao Art. 18 (defasagem na pesquisa de precos), visto que o valor estimado de 3550.00 reais e flagrantemente inexequivel para a aquisicao de um trio de congas profissionais da marca direcionada, o que inviabiliza a execucao financeira do item. Requer-se a aceitacao do modelo equivalente sugerido e a exclusao das clausulas restritivas para garantir a competitividade e viabilidade do certame.</t>
  </si>
  <si>
    <t>Instrumento musical - sopro Instrumento Musical - Sopro Tipo: Saxofone Tenor, Acabamento Superficial: Laqueado, Características Adicionais: Chave De F Agudo</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</si>
  <si>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</si>
  <si>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TST-300G NEW</t>
  </si>
  <si>
    <t>O modelo TOKAI SOPRO TST-300G NEW atende aos requisitos funcionais e estruturais criticos do edital. Consiste em um saxofone tenor de nivel profissional afinado em Sib (Bb), fabricado em latao com acabamento laqueado dourado, equipado com chave de Fa# agudo, campana ornamentada (gravacao manual/engraving) e sapatilhas italianas Pisoni com ressonadores metalicos (padrao da serie 300). O valor de 7490.00 reais atende com folga ao teto orcamentario de 15876.84 reais. As ressalvas tecnicas recaem sobre dois pontos: primeiro, a terminologia da especificacao mecanica, pois a fonte nao utiliza o termo 'hastes duplas', descrevendo o mecanismo como 'Sib grave articulado', que na engenharia de construcao de saxofones atua como o equivalente funcional direto (mecanismo rocking table) para garantir a precisao exigida nas chaves graves; segundo, a ausencia de mencao expressa aos consumiveis menores de limpeza (flanela, escova, graxa) na embalagem de fabrica.</t>
  </si>
  <si>
    <t>Instrumento musical - sopro Instrumento Musical - Sopro Tipo: Trompete, Tamanho: 3/4, Acabamento Superficial: Laqueado</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</si>
  <si>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</si>
  <si>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YTR-4335GII</t>
  </si>
  <si>
    <t>O catalogo nao possui um trompete de nivel estritamente profissional com todas as especificacoes premium do edital (borda French Bead, sistema reverso) dentro do teto orcamentario estipulado, visto que modelos profissionais nas fontes superam 26 mil reais. Como equivalente funcional de mais alta performance dentro do limite de 10872.12 reais, o modelo YAMAHA YTR-4335GII atende aos requisitos criticos de afinacao em Sib (Bb), acabamento laqueado dourado, dimensao da campana (123mm) e, principalmente, a exigencia do material em Gold Brass (latao dourado), garantindo o som focado e rico solicitado. A ressalva tecnica recai sobre sua classificacao comercial como intermediario em vez de profissional, e a ausencia especifica da bomba reversa, configurando-se como o limite maximo de qualidade exequivel para o certame.</t>
  </si>
  <si>
    <t>Violacao ao Art. 18 da Lei 14.133/21. Constata-se notoria defasagem na pesquisa de precos, uma vez que o teto orcamentario de 10872.12 reais e flagrantemente insuficiente para a aquisicao de um trompete genuinamente profissional com as especificacoes construtivas premium exigidas, como borda French bead e bomba reversa. Modelos profissionais nas fontes superam amplamente os 26 mil reais, inviabilizando materialmente o cumprimento estrito do descritivo. Requer-se a aceitacao do modelo intermediario avancado sugerido ou a imediata revisao do valor de referencia para refletir a realidade comercial da categoria profissional.</t>
  </si>
  <si>
    <t>Instrumento musical - sopro Instrumento Musical - Sopro Tipo: Trombone, Acabamento Superficial: Bronze</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</si>
  <si>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</si>
  <si>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YSL-447GE</t>
  </si>
  <si>
    <t>O modelo YAMAHA YSL-447GE atende rigorosamente as especificacoes acusticas e dimensionais criticas exigidas: trombone tenor afinado em Sib (Bb), calibre interno largo exato de 0.547 polegadas (13.89mm) e campana em latao dourado (gold brass) superando o minimo exigido com 8.5 polegadas (214.4mm). A ressalva tecnica recai sobre sua classificacao comercial como intermediario em vez de profissional, bem como a ausencia de confirmacao na fonte sobre o contrapeso de fabrica e a vara externa especifica em alpaca. Modelos estritamente profissionais nas fontes (ex: Yamaha YSL610) estao cotados a 17425.00 reais, ultrapassando o teto orcamentario de 16932.33 reais. Sendo assim, o YSL-447GE atua como o equivalente funcional de mais alta performance financeiramente viavel para o certame.</t>
  </si>
  <si>
    <t>Violacao ao Art. 18 da Lei 14.133/21. Constata-se defasagem na pesquisa de precos. O teto orcamentario de 16932.33 reais e insuficiente para a aquisicao de um trombone de calibre largo genuinamente profissional (que ultrapassa 17 mil reais nas fontes). A manutencao da exigencia estrita do nivel profissional neste patamar de valor torna o item inexequivel. Requer-se a aceitacao do modelo intermediario avancado sugerido, que atende a todas as medidas criticas, ou a revisao do valor de referencia.</t>
  </si>
  <si>
    <t>Instrumento musical - sopro Instrumento Musical - Sopro Tipo: Trombone, Tamanho: Longa, Acabamento Superficial: Laqueado, Características Adicionais: Sib/Mib</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</si>
  <si>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</si>
  <si>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YSL620</t>
  </si>
  <si>
    <t>O modelo YAMAHA YSL620 atende aos requisitos criticos de ser um trombone tenor de nivel profissional com transposicao em Sib/Fa (Bb/F), equipado com rotor, calibre largo principal de 0.547 polegadas (13.89 mm) e campana de 8.5 polegadas (214.4 mm comerciais, atendendo a dimensao exigida). O valor de 22464.58 reais enquadra-se no teto orcamentario de 30321.76 reais. As ressalvas tecnicas recaem sobre a ausencia de confirmacao na fonte de detalhes especificos (como o calibre da secao da valvula de 0.562 polegadas e armacao 'open wrap') e o material da campana, que e construida em latao amarelo (yellow brass) em vez das ligas com maior teor de cobre (rose, gold ou red brass) solicitadas. Sendo o unico trombone tenor profissional com rotor nas fontes, atua como o equivalente funcional mais compativel e exequivel para o certame.</t>
  </si>
  <si>
    <t>Instrumento musical - sopro Instrumento Musical - Sopro Tipo: Sousafone, Acabamento Superficial: Folheado A Prata, Características Adicionais: Sib</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</si>
  <si>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</si>
  <si>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Yamaha YSH-301S / King 1915B</t>
  </si>
  <si>
    <t>MICHAEL</t>
  </si>
  <si>
    <t>WSFFM85N</t>
  </si>
  <si>
    <t>O modelo MICHAEL WSFFM85N atende aos requisitos funcionais e estruturais criticos do edital. Consiste em um sousafone afinado em Si bemol (Bb), equipado com 3 pistoes e fabricado em fibra de vidro (FRP), o que garante a leveza estrutural exigida na referencia. O calibre possui exatos 18.5mm. O valor de 19906.00 reais atende com ampla folga ao teto orcamentario de 38395.00 reais. As ressalvas tecnicas recaem sobre a campana de 660mm (variacao comercial milimetrica frente a especificacao de 663mm) e a ausencia de mencao no catalogo ao peso exato de 9.1 kg, modelo do estojo e ao bocal 67C4 (que consiste em uma nomenclatura de acessorio exclusiva da marca Yamaha). O modelo sugerido atua como o equivalente funcional direto e a opcao comercialmente ideal disponivel nas fontes para o certame.</t>
  </si>
  <si>
    <t>Instrumento musical - percursão Instrumento Musical - Percursão Tipo: Bombo, Material: Alumínio, Componentes: Com Talabarte, Tamanho: 22 X 30CM</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</si>
  <si>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</si>
  <si>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Izzo</t>
  </si>
  <si>
    <t>22272</t>
  </si>
  <si>
    <t>O descritivo do edital agrupa indevidamente dois instrumentos distintos (Bombo Fuzileiro e Tarol Profissional) em um unico item. Focando no equipamento primario (Bombo Fuzileiro em aluminio), o modelo LUEN 2025 22272 atende a categoria funcional, mas possui 30 polegadas de diametro (em vez de 22) e 10 afinadores (em vez de 12). O catalogo nao dispoe de bombos de marcha de 22 polegadas em aluminio (apenas em madeira, que ultrapassam 1200 reais). Sobre o Tarol, nao ha modelos em Maple com sistema free-floating nas fontes, dispondo apenas de alternativas em aluminio padrao. O modelo sugerido atua como a aproximacao comercial mais viavel para o Bombo frente ao descritivo aglutinado.</t>
  </si>
  <si>
    <t>Violacao ao Art. 18 da Lei 14.133/21. Constata-se grave falta de clareza e descricao confusa do objeto, agrupando dois instrumentos com finalidades e materiais completamente distintos (Bombo Fuzileiro e Tarol de alta performance) em um unico descritivo sob o mesmo teto orcamentario. Tal aglutinacao inviabiliza a correta cotacao e o fornecimento adequado. Alem disso, ha restritividade na exigencia de 'casco 100% maple' e 'sistema free-floating' sem justificativa tecnica atrelada a finalidade publica, configurando direcionamento de mercado (Art. 37, II). Requer-se o desmembramento imediato dos itens e a correcao das descricoes.</t>
  </si>
  <si>
    <t>Instrumento musical - percursão Instrumento Musical - Percursão Tipo: Caixa De Guerra, Material: Alumínio, Componentes: 06 Afinadores Cromados, Pele Porosa, Pele Resposta, Tamanho: 14 X 15CM</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</si>
  <si>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</si>
  <si>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Pearl FFXM1412 / Yamaha MS-9414</t>
  </si>
  <si>
    <t>CDM1412</t>
  </si>
  <si>
    <t>O descritivo apresenta um grave erro de edicao, exigindo componentes exclusivos de instrumentos de sopro ('vara de afinacao', 'bocal') atrelados a modelos de referencia que consistem, na verdade, em Caixas de Marcha de Alta Tensao (Pearl FFXM1412, Yamaha MS-9414). Ignorando o fragmento de sopro e focando na engenharia dos modelos de percussao de referencia, o equivalente tecnico direto nas fontes e a caixa MICHAEL CDM1412. Este modelo possui as exatas 14x12 polegadas, sistema de alta tensao, aro duplo coquilhado e pele em Kevlar requeridos para a categoria. A ressalva tecnica recai estritamente sobre a severa incompatibilidade entre o equipamento premium solicitado e o orcamento disponivel.</t>
  </si>
  <si>
    <t>Violacao ao Art. 18 da Lei 14.133/21. Constata-se dupla irregularidade: 1) Descricao contraditoria e confusa, misturando pecas de metais/sopro com modelos de percussao marcial, o que fere o principio da definicao clara do objeto; 2) Grave defasagem na pesquisa de precos, visto que o teto de 1398.60 reais e flagrantemente inexequivel para a aquisicao de uma caixa de marcha de alta tensao (com pele de Kevlar) equivalente aos padroes Pearl/Yamaha exigidos, cujo valor de mercado e substancialmente superior. Requer-se a imediata retificacao do texto e revisao do valor estimado.</t>
  </si>
  <si>
    <t>Instrumento musical - percursão Instrumento Musical - Percursão Tipo: Prato, Material: Bronze, Componentes: 2 Pratos, Tamanho: 18POL, Características Adicionais: Correias Em Couro E Protetores De Mão.</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</si>
  <si>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</si>
  <si>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Zildjian Planet Z 18 / Meinl HCS Bronze 18 / Sabian B8X Band 18</t>
  </si>
  <si>
    <t>19032</t>
  </si>
  <si>
    <t>O modelo LUEN 2025 19032 atua como o unico representante da categoria de pratos de choque (fanfarra) com alcas manuais disponivel nas fontes. Contudo, apresenta severas ressalvas quanto aos requisitos criticos dimensionais e materiais do edital: possui apenas 10 polegadas de diametro (frente as 18 exigidas) e e fabricado em liga de aco niquelado (em vez da liga de cobre e zinco solicitada). Esta discrepancia resulta em uma projecao acustica e timbre drasticamente inferiores ao padrao exigido para bandas marciais sinfonicas, atuando estritamente como a aproximacao de categoria possivel no catalogo.</t>
  </si>
  <si>
    <t>Violacao ao Art. 18 da Lei 14.133/21. Constata-se notoria defasagem na pesquisa de precos. O valor estimado de 770.00 reais e manifestamente inexequivel para a aquisicao de um par de pratos de 18 polegadas das marcas de referencia citadas (Zildjian, Meinl, Sabian), cujo valor de mercado e substancialmente superior. A manutencao deste teto orcamentario inviabiliza a oferta de produtos que atendam aos requisitos dimensionais e acusticos criticos, frustrando a competicao e a finalidade publica. Requer-se a imediata revisao do valor de referencia.</t>
  </si>
  <si>
    <t>Instrumento musical - percursão Instrumento Musical - Percursão Tipo: Bateria, Componentes: Bumbo 22X 16, Surdo 16X 16, Tons 10X 8 E 12X 9, Características Adicionais: Acústica Profissional</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</si>
  <si>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</si>
  <si>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Pearl</t>
  </si>
  <si>
    <t>NAGANO</t>
  </si>
  <si>
    <t>GARAGE 22 BLACK</t>
  </si>
  <si>
    <t>O modelo NAGANO GARAGE 22 BLACK atua como a aproximacao de categoria viavel dentro do teto orcamentario de 6650.00 reais. Ele atende as medidas base do bumbo (22 polegadas), toms (10 e 12 polegadas), surdo (16 polegadas) e caixa (14x5.5). As severas ressalvas recaem sobre as limitacoes impostas pelo baixo orcamento: trata-se de um instrumento de nivel estudante, nao acompanha o segundo surdo de 14 polegadas exigido, e o kit de ferragens e simples (acompanha apenas 1 estante reta de prato, em vez das 3 estantes exigidas, e o banco nao possui ajuste profissional por rosca). Baterias de padrao estritamente profissional de 6 pecas nas fontes (como a linha Yamaha Stage Custom) ultrapassam 10 mil reais apenas nos tambores (shell pack), inviabilizando a oferta completa com ferragens neste valor.</t>
  </si>
  <si>
    <t>Violacao ao Art. 18 da Lei 14.133/21. Constata-se grave defasagem na pesquisa de precos que fundamenta o termo de referencia. O valor maximo estipulado de 6650.00 reais e flagrantemente inexequivel para a aquisicao de uma bateria de 6 tambores de nivel profissional equivalente a marca Pearl, acrescida de um kit de ferragens premium (banco de rosca e 3 estantes de prato). Tal defasagem inviabiliza materialmente o cumprimento estrito do descritivo e frustra a competitividade. Requer-se a aceitacao do modelo basico cotado ou a imediata revisao do valor de referencia para refletir o real custo de mercado da categoria profissional exigida.</t>
  </si>
  <si>
    <t>Peças e acessórios instrumento musical Peças E Acessórios Instrumento Musical Tipo: Kit Pratos, Aplicação: Bateria, Características Adicionais: Custom Com 1 Hi-Hat 14, 1 Crash 16 E 18, 1 Ride</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</si>
  <si>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</si>
  <si>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Zildjian K Custom Dark Series KCD900</t>
  </si>
  <si>
    <t>Mes</t>
  </si>
  <si>
    <t>55003</t>
  </si>
  <si>
    <t>O modelo Mes 55003 atende estritamente a configuracao dimensional exigida no edital: chimbal de 14 polegadas, crashes de 16 e 18 polegadas, e ride de 20 polegadas. As severas ressalvas recaem sobre a categoria acustica e material do produto: enquanto a referencia Zildjian K Custom Dark consiste em pratos de nivel premium em liga B20 com martelamento complexo e timbre escuro (dark), o modelo sugerido e fabricado em liga B8 (92% cobre, 8% estanho) com foco em estudantes e intermediarios. Nas fontes, este atua como o unico equivalente dimensional disponivel que cumpre o padrao de tamanhos, porem sendo acusticamente inferior a qualidade premium requerida.</t>
  </si>
  <si>
    <t>Violacao ao Art. 18 da Lei 14.133/21. Constata-se grave defasagem na pesquisa de precos. O valor estimado de 7063.00 reais e flagrantemente inexequivel para a aquisicao de um kit de pratos de nivel premium (liga B20, martelamento manual/complexo) equivalente ao padrao tecnico Zildjian K Custom Dark Series, cujo valor de mercado no Brasil e substancialmente superior. Requer-se a aceitacao do modelo intermediario compativel sugerido ou a imediata revisao do valor de referencia para refletir a realidade comercial da categoria premium exigida.</t>
  </si>
  <si>
    <t>Caixa acústica Caixa Acústica Tipo: Amplificada, Potência: 1.100W, Tamanho Alto-Falante: 8POL, Resposta Freqüência: 70 Hz - 16KHZ, Características Adicionais: Dispersão Nominal 40h X 120v, Impedância Entrada: 8OHM, Voltagem: 110 - 240V, Sensibilidade: 90DB</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</si>
  <si>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</si>
  <si>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JBL EON615</t>
  </si>
  <si>
    <t>KSR</t>
  </si>
  <si>
    <t>K-1s 15</t>
  </si>
  <si>
    <t>O descritivo do edital agrupa indevidamente dois equipamentos distintos (Caixa de som PA de 15 polegadas e Amplificador para Guitarra) em um unico item. Focando no equipamento primario de PA, o modelo KSR K-1s 15 atende rigorosamente aos requisitos criticos de performance exigidos para o equivalente da JBL EON615: alto-falante de 15 polegadas, proporcao exata de 700W LF e 300W HF, pressao sonora de 127 dB SPL, resposta de frequencia a partir de 39 Hz, alimentacao bivolt automatica e peso de 17 kg. O valor atende perfeitamente ao teto orcamentario de 3710.00 reais. A ressalva recai sobre a aglutinacao de itens e a descricao cortada do amplificador de guitarra, omitido do matching primario.</t>
  </si>
  <si>
    <t>Violacao ao Art. 18 da Lei 14.133/21. Constata-se grave falta de clareza e descricao confusa do objeto ao agrupar equipamentos de naturezas distintas (Caixa Ativa de PA e Amplificador de Guitarra) sob o mesmo descritivo e teto orcamentario, alem de apresentar corte abrupto no texto da guitarra. Tal aglutinacao fere o principio do parcelamento do objeto e inviabiliza a cotacao objetiva, frustrando a competitividade. Requer-se o desmembramento imediato em itens separados e a correcao do texto.</t>
  </si>
  <si>
    <t>Peças e acessórios instrumento musical Peças E Acessórios Instrumento Musical Tipo: Amplificador De Guitarra, Aplicação: Guitarra, Características Adicionais: Cor Preto Com Potência Rms De 100 Watts,Chorus Ana</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</si>
  <si>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</si>
  <si>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Roland KC-880</t>
  </si>
  <si>
    <t>ONEAL</t>
  </si>
  <si>
    <t>OOM-4112</t>
  </si>
  <si>
    <t>O catalogo nao possui um amplificador estereo dedicado para teclado com 320W RMS, 5 canais, 2 alto-falantes de 12 polegadas e efeitos embutidos dentro do teto orcamentario de 2131.50 reais. Amplificadores dedicados nas fontes (como o OCK-600X) superam 4 mil reais. Como equivalente por categoria viavel financeiramente, o modelo ONEAL OOM-4112 atua como um amplificador/caixa multiuso de 130W, equipado com 1 alto-falante de 12 polegadas e mixer de 2 canais. As severas ressalvas recaem sobre a potencia significativamente inferior, menor numero de canais, configuracao acustica (1x12 em vez de 2x12) e a ausencia dos efeitos profissionais dedicados (Chorus, Tremolo, Rotary), servindo estritamente como a aproximacao comercial possivel no limite orcamentario do edital.</t>
  </si>
  <si>
    <t>Violacao ao Art. 18 da Lei 14.133/21. Constata-se grave defasagem na pesquisa de precos que fundamenta o termo de referencia. O valor maximo estipulado de 2131.50 reais e flagrantemente inexequivel para a aquisicao de um amplificador profissional estereo de 320W com 2 falantes de 12 polegadas e processamento de efeitos, equivalente ao padrao tecnico do Roland KC-880, cujo valor de mercado no Brasil e substancialmente superior (ultrapassando facilmente os 10 mil reais). Tal defasagem inviabiliza materialmente o cumprimento estrito do descritivo e frustra a competitividade. Requer-se a aceitacao do modelo multiuso cotado ou a imediata revisao do valor de referencia para refletir o custo real da categoria premium exigida.</t>
  </si>
  <si>
    <t>Peças E Acessórios Instrumento Musical Peças E Acessórios Instrumento Musical Tipo: Amplificador De Contrabaixo , Aplicação: Contrabaixo, Características Adicionais: Cor Preto, Potência De 90 Watts, Saída Fone, Auto-</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</si>
  <si>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</si>
  <si>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Hartke Hydrive 410</t>
  </si>
  <si>
    <t>OBS-410X</t>
  </si>
  <si>
    <t>O modelo ONEAL OBS-410X atua como a aproximacao por categoria disponivel nas fontes para um gabinete de contrabaixo na configuracao 4x10 (quatro alto-falantes de 10 polegadas) com driver de alta frequencia e impedancia de 8 Ohms. As severas ressalvas recaem sobre a discrepancia tecnica frente ao padrao premium exigido: possui potencia de 300W RMS (contra 1000W exigidos), utiliza falantes padrao em vez de imas de neodimio com cone hibrido, possui apenas conectores P10 (sem Speakon) e o atenuador da corneta e simples liga/desliga (sem o estagio de -6dB). Destaca-se ainda que o equipamento equivalente atinge o valor de 3183.00 reais, ultrapassando o limite orcamentario do edital.</t>
  </si>
  <si>
    <t>Violacao ao Art. 18 da Lei 14.133/21. Constata-se grave defasagem na pesquisa de precos que fundamenta o termo de referencia. O valor estimado de 1889.60 reais e flagrantemente inexequivel para a aquisicao de uma caixa acustica de contrabaixo de 1000W com falantes de neodimio, equivalente ao padrao premium Hartke Hydrive 410, cujo valor real de mercado e multiplas vezes superior (frequentemente ultrapassando os 6 mil reais). Tal defasagem inviabiliza materialmente o cumprimento estrito do descritivo e frustra a competitividade. Requer-se a aceitacao do modelo basico sugerido ou a imediata e substancial revisao do valor de referencia para refletir a realidade comercial da categoria exigida.</t>
  </si>
  <si>
    <t>Mesa áudio / vídeo Mesa Áudio / Vídeo - Switcher De Vídeo Quantidade Canais: 24UN, Equalização: Grafica Duplo De 7 Bandas, Tensão Alimentação: 110/220V, Características Adicionais: Processador De Efeitos 99 Dsp 2 Auxiliares Inser, Acessórios: Entrada Usb Com Display Digital, Saída Estéreo,</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</si>
  <si>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</si>
  <si>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Digital Mixer SI EXPRESSION 3 Soundcraft</t>
  </si>
  <si>
    <t>DUONN</t>
  </si>
  <si>
    <t>AXIOS 24</t>
  </si>
  <si>
    <t>O catalogo nao possui uma mesa digital fisica com 30 faders motorizados e 24 pre-amplificadores dentro do orcamento de 4251.04 reais. Como equivalente funcional viavel financeiramente, o modelo DUONN AXIOS 24 atua como um mixer digital de 24 canais em formato rack/stagebox. Ele atende as exigencias de processamento digital, 24 entradas (combo XLR/TRS) e controle remoto via Wi-Fi (aplicativo dedicado para tablet/iPad, atendendo a funcao do Visi Remote). As severas ressalvas recaem sobre o formato fisico (ausencia da superficie de controle com faders motorizados iluminados), falta de slots de expansao 64x64 e processadores especificos da Lexicon, servindo estritamente como a aproximacao comercial possivel no limite do edital.</t>
  </si>
  <si>
    <t>Violacao ao Art. 18 da Lei 14.133/21. Constata-se grave defasagem na pesquisa de precos. O teto orcamentario de 4251.04 reais e flagrantemente inexequivel para a aquisicao de uma mesa digital de 24 canais com superficie de controle de 30 faders motorizados, equivalente ao padrao Soundcraft Si Expression 3 (cujo valor real de mercado ultrapassa facilmente os 20 mil reais). Tal defasagem inviabiliza materialmente o cumprimento estrito do descritivo e frustra a competitividade. Requer-se a aceitacao do mixer digital de rack sugerido ou a imediata revisao do valor de referencia para refletir a realidade comercial do equipamento exigido.</t>
  </si>
  <si>
    <t>Estante - partitura Estante - Partitura Material: Madeira, Comprimento: 490MM, Largura: 300MM, Características Adicionais: Suporte Para Batuta, Pedestal Em Metal E Pés Retrá</t>
  </si>
  <si>
    <t>Estante de partituras tipo maestro com prancheta sólida em madeira ou metal e com tripé em metal. Garantia mínima de 3 meses. Manual de instruções. Produto equivalente ou de qualidade superior ao padrão técnico do modelo rmv pes0070, rmv std 0071 e saty 5031.</t>
  </si>
  <si>
    <t>RMV PES0070 / RMV STD 0071 / SATY 5031</t>
  </si>
  <si>
    <t>SMART</t>
  </si>
  <si>
    <t>SM-009</t>
  </si>
  <si>
    <t>O modelo SMART SM-009 atende integralmente aos requisitos criticos do edital. Consiste em uma estante orquestral (tipo maestro) com prancheta solida e tripe robusto, fabricada com estrutura em aco de alta durabilidade, o que satisfaz plenamente a exigencia de material em madeira ou metal. O valor de 67.90 reais enquadra-se com folga no teto orcamentario de 162.40 reais, configurando-se como o equivalente funcional direto e ideal disponivel nas fontes para os padroes tecnicos exigidos.</t>
  </si>
  <si>
    <t>Instrumento musical - sopro Instrumento Musical - Sopro Tipo: Corneta, Tamanho: Curta, Acabamento Superficial: Sib Niquelado</t>
  </si>
  <si>
    <t>Corneta Sib curta niquelada; com bocal, Campana:124mm, calibre:11,70mm. Produto equivalente ou de qualidade superior ao padrão técnico do modelo Weril N200 ou superior</t>
  </si>
  <si>
    <t>Weril N200</t>
  </si>
  <si>
    <t>LAL601</t>
  </si>
  <si>
    <t>O modelo GOPE LAL601 atende a finalidade e aos requisitos principais da categoria solicitada, sendo uma corneta de fanfarra sem pistos, com design com volta (formato curto), acabamento niquelado e bocal incluso. O valor de 712.99 reais esta dentro do limite orcamentario de 840.00 reais. As ressalvas recaem sobre a afinacao, que e dupla (Do/Si bemol) em vez de fixa em Si bemol, e a ausencia de confirmacao nas fontes das medidas exatas de campana (124mm) e calibre (11.70mm). Destaca-se que o catalogo dispoe do modelo MICHAEL WCMBB com as dimensoes exatas requeridas, mas trata-se de uma corneta formato longo cujo valor de 981.00 reais ultrapassa o teto do certame.</t>
  </si>
  <si>
    <t>Instrumento musical - sopro Instrumento Musical - Sopro Tipo: Corneta Sibemol, Tamanho: Longa, Acabamento Superficial: Niquelada</t>
  </si>
  <si>
    <t>Corneta longa em Sib, acabamento niquelado com bag e bocal inclusos. Produto equivalente ou de qualidade superior ao padrão técnico do modelo Quasar QCS302N Bb .</t>
  </si>
  <si>
    <t>Quasar QCS302N Bb</t>
  </si>
  <si>
    <t>WCMBB</t>
  </si>
  <si>
    <t>O modelo MICHAEL WCMBB atende aos requisitos criticos do edital, sendo uma corneta de formato longo, com afinacao fixa em Si bemol (Bb) e acabamento niquelado. As ressalvas recaem sobre a ausencia de confirmacao na fonte quanto a inclusao da bag de transporte e bocal, bem como a severa incompatibilidade entre o valor do equipamento equivalente e o orcamento disponivel no certame.</t>
  </si>
  <si>
    <t>Violacao ao Art. 18 da Lei 14.133/21. Constata-se grave defasagem na pesquisa de precos. O valor maximo estipulado de 635.60 reais e flagrantemente inexequivel para a aquisicao de uma corneta longa em Si bemol niquelada compativel com o padrao tecnico exigido, cujo valor de mercado atinge 981.00 reais. Tal defasagem inviabiliza o fornecimento e frustra a competitividade. Requer-se a imediata revisao do valor de referencia.</t>
  </si>
  <si>
    <t>Violão com 6 cordas, com um tampo em Solid Spruce, Corte:Folk; corpo e escalas em Rosewood, Pré TP-4T com sintonizador e tarraxas Douradas Die-Cast; Cor natural. Produto equivalente ou de qualidade superior ao padrão técnico do modelo Takamine GD 51 CE</t>
  </si>
  <si>
    <t>Takamine GD 51 CE</t>
  </si>
  <si>
    <t>TEF 495</t>
  </si>
  <si>
    <t>O modelo Thomaz TEF 495 atua como a aproximacao por categoria viavel dentro do teto orcamentario de 864.50 reais. Ele atende ao formato Folk com cutaway, 6 cordas de aco, escala em Rosewood e sistema de pre-amplificador ativo com afinador digital. As severas ressalvas recaem sobre os materiais construtivos frente ao padrao premium exigido: o modelo possui tampo, fundo e laterais em Catalpa laminada (em vez de tampo Solid Spruce e corpo em Rosewood) e tarraxas cromadas (em vez de douradas). Instrumentos nas fontes que cumprem a exigencia de tampo solido em Spruce e corpo em Rosewood (como o Tagima Stella DW) ultrapassam 3.400 reais, inviabilizando o cumprimento exato do descritivo no limite orcamentario do certame.</t>
  </si>
  <si>
    <t>Violacao ao Art. 18, Art. 37, II e Art. 41, I da Lei 14.133/21. Constata-se grave defasagem na pesquisa de precos: o teto de 864.50 reais e manifestamente inexequivel para a aquisicao de um violao de categoria premium com tampo macico (Solid Spruce) e corpo em Rosewood, equivalente ao Takamine GD 51 CE, cujo valor real de mercado e multiplas vezes superior. Alem disso, a exigencia especifica do componente 'Pre TP-4T' (modelo proprietario da marca Takamine) atua como direcionamento velado, restringindo a competitividade sem justificativa tecnica atrelada a finalidade publica. Requer-se a revisao do valor de referencia, a exclusao do componente proprietario e a aceitacao de modelos equivalentes financeiramente viaveis.</t>
  </si>
  <si>
    <t>Instrumento musical - corda Instrumento Musical - Corda Componentes: Com 5 Cordas E Estojo, Tipo: Contrabaixo Elétrico</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</si>
  <si>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</si>
  <si>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YAMAHA TRB 1005J</t>
  </si>
  <si>
    <t>TAGIMA</t>
  </si>
  <si>
    <t>TJB-5</t>
  </si>
  <si>
    <t>O modelo TAGIMA TJB-5 atua como a aproximacao funcional e de categoria disponivel nas fontes dentro do teto orcamentario de 3352.30 reais. Ele atende aos requisitos criticos de ser um contrabaixo de 5 cordas, possuir sistema ativo com equalizador de 3 bandas (grave, medio e agudo), controle de balanco e 2 captadores em Alnico. As ressalvas recaem sobre diferencas construtivas frente ao padrao premium exigido: possui 22 trastes (contra 24 exigidos), captadores single-coil (em vez de hum-canceled), corpo em Cedro (em vez de Maple/Alder) e ponte padrao cromada (em vez de Solid Brass).</t>
  </si>
  <si>
    <t>Violacao ao Art. 18 da Lei 14.133/21. Constata-se grave defasagem na pesquisa de precos que fundamenta o termo de referencia. O valor maximo estipulado de 3352.30 reais e flagrantemente inexequivel para a aquisicao de um contrabaixo premium de 5 cordas equivalente ao padrao tecnico Yamaha TRB 1005J (cujo valor real de mercado e multiplas vezes superior). Tal defasagem inviabiliza o cumprimento estrito do descritivo e frustra o carater competitivo do certame. Requer-se a aceitacao do modelo compativel cotado ou a imediata revisao do valor de referencia para refletir a realidade comercial do equipamento exigido.</t>
  </si>
  <si>
    <t>Suporte para teclado Suporte Para Teclado Material: Metal, Acabamento: Pintura Em Epóxi, Cor: Preta, Característica Adicionais: Compatível Com Piano Digital, Dimensões Fechado:</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</si>
  <si>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</si>
  <si>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Saty 2040</t>
  </si>
  <si>
    <t>SATY</t>
  </si>
  <si>
    <t>2045</t>
  </si>
  <si>
    <t>O descritivo apresenta uma contradicao: exige um suporte para 1 teclado com estrutura em X duplo e capacidade de 40kg, mas cita como referencia o modelo Saty 2040 (que, nas fontes, consiste em um suporte para 2 teclados e microfone, com capacidade de 50kg). Corrigindo o erro material do edital e focando nas especificacoes estruturais exigidas para 1 teclado, o equivalente direto no catalogo e o modelo SATY 2045. Ele atende rigorosamente a estrutura em X duplo (double-braced), sistema Lock Memory e supera a capacidade de carga exigida (suportando ate 45kg). A ressalva recai estritamente sobre o valor do equipamento (120.00 reais), que ultrapassa levemente o teto orcamentario de 112.00 reais.</t>
  </si>
  <si>
    <t>Violacao ao Art. 18 da Lei 14.133/21. Constata-se erro material e contradicao na descricao do objeto ao citar o modelo de referencia Saty 2040 (suporte para multiplos instrumentos) atrelado a um descritivo de suporte individual. Ademais, o valor estimado de 112.00 reais apresenta leve defasagem frente ao custo comercial do modelo equivalente correto (Saty 2045). Requer-se a retificacao do modelo de referencia no termo e a revisao do teto orcamentario para garantir a exequibilidade das propostas e o carater competitivo.</t>
  </si>
  <si>
    <t>Pedal De Instrumento Musical Pedal De Instrumento Musical Comprimento: 181MM, Largura: 318MM, Altura: 64MM, Peso: 1,84KG, Características Adicionais: Pedaleira Para Guitarra</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</si>
  <si>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</si>
  <si>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TC</t>
  </si>
  <si>
    <t>Plethora X3</t>
  </si>
  <si>
    <t>O modelo TC Plethora X3 atua como a aproximacao por categoria disponivel nas fontes para uma pedaleira multi-efeitos digital de guitarra dentro do teto orcamentario estipulado. As severas ressalvas recaem sobre a discrepancia tecnica frente ao padrao exigido: o modelo sugerido armazena 127 presets (contra 400 exigidos), utiliza 3 slots de efeitos simultaneos, nao possui pedal de expressao integrado (exigido para funcoes como Wah e Pedal Fx) e nao atua como simulador de amplificadores. Serve estritamente como a alternativa viavel da mesma categoria no catalogo.</t>
  </si>
  <si>
    <t>Violacao ao Art. 18 e Art. 41, I da Lei 14.133/21. O descritivo copiou integralmente as especificacoes tecnicas e nomenclaturas proprietarias de uma pedaleira especifica do mercado (como 'Accel Fx', 'Sound Hold' e conversoes exatas), configurando direcionamento velado. A omissao da indicacao de marca seguida da expressao 'ou equivalente' associada a um texto altamente restritivo fere a isonomia e frustra a competitividade do certame. Requer-se a revisao do edital para focar em requisitos de desempenho gerais, excluindo termos exclusivos de fabricante.</t>
  </si>
  <si>
    <t>Peças e acessórios instrumento musical Peças E Acessórios Instrumento Musical Tipo: Suporte De Solo, Aplicação: Guitarra, Baixo E Violão , Características Adicionais: Carga Mínimo 5 Kg, Com Apoio Emborrachado</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</si>
  <si>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</si>
  <si>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ASK G3S</t>
  </si>
  <si>
    <t>SM-15</t>
  </si>
  <si>
    <t>O modelo SMART SM-15 atende integralmente aos requisitos criticos do edital. Consiste em um suporte de chao tipo tripe compativel com violao, guitarra e contrabaixo, construido em estrutura metalica tubular. Possui o sistema de trava de seguranca de borracha no garfo superior (braco) e pontos de contato revestidos com espuma e borracha para evitar danos e manchas ao instrumento, atuando como equivalente direto ao padrao tecnico do ASK G3S estipulado. O valor de 36.90 reais enquadra-se no teto orcamentario de 43.40 reais.</t>
  </si>
  <si>
    <t>Peças e acessórios instrumento musical Peças E Acessórios Instrumento Musical Tipo: Suporte De Solo, Aplicação: Clarinete Soprano Si Bemol, Características Adicionais 1: Estojo Em Tecido, Retratil, Corpo Em Metal, Pés</t>
  </si>
  <si>
    <t>Suporte para clarinete emborrachado destacável e com pés ajustáveis, pintura na cor preta, altura:27cm com capacidade de suporte de até 10kg. Produto equivalente ou de qualidade superior ao padrão técnico do modelo Hércules DS-640B.</t>
  </si>
  <si>
    <t>Hercules DS-640B</t>
  </si>
  <si>
    <t>CL-10</t>
  </si>
  <si>
    <t>O modelo SATY CL-10 atua como equivalente funcional direto para a categoria. Consiste em um suporte compacto para clarinete com pernas metalicas retrateis (atendendo a exigencia de ser destacavel e com pes ajustaveis) e acabamento base na cor preta. A ressalva recai sobre o revestimento da haste de contato, que e em veludo protetor em vez de emborrachado, oferecendo protecao equivalente contra riscos. Destaca-se do ponto de vista de engenharia de produto que a exigencia de 10kg de capacidade de carga e tecnicamente desproporcional e desnecessaria para um clarinete (cujo peso medio e inferior a 1kg), sendo a estrutura do modelo sugerido plenamente dimensionada para suportar a carga real do instrumento com total seguranca.</t>
  </si>
  <si>
    <t>Peças E Acessórios Instrumento Musical Peças E Acessórios Instrumento Musical Tipo: Suporte De Solo, Aplicação: Trombone A Vara, Características Adicionais 1: Dobrável E CompactoBase De Contato Com O Instrume</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</si>
  <si>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</si>
  <si>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Hercules DS-520B</t>
  </si>
  <si>
    <t>5700</t>
  </si>
  <si>
    <t>O descritivo apresenta falha de edicao, misturando especificacoes de suportes para trombone e trompete no mesmo texto. O modelo SATY 5700 atua como equivalente funcional ideal por oferecer um suporte combinado para ambos os instrumentos de sopro. Ele atende a exigencia de base tripe dobravel, cone para trompete revestido em feltro (equivalente a estaca aveludada) e apoio para trombone, com altura ajustavel de 60 a 100 cm (cobrindo os 860mm exigidos). As ressalvas tecnicas recaem sobre a estrutura ser em aco (em vez de aluminio exigido para o trombone) e o carater combinado da estante, servindo estritamente como a aproximacao disponivel no catalogo para o texto aglutinado.</t>
  </si>
  <si>
    <t>Violacao ao Art. 18 da Lei 14.133/21. Constata-se falta de clareza e erro na descricao do objeto ao agrupar equipamentos distintos (suporte para trombone e suporte para trompete) sob o mesmo texto e teto orcamentario, havendo ainda corte abrupto no final da especificacao. Tal aglutinacao fere o principio da clareza e do parcelamento do objeto, inviabilizando a cotacao exata e frustrando a competitividade. Requer-se a imediata retificacao, correcao e desmembramento do descritivo.</t>
  </si>
  <si>
    <t>Peças E Acessórios Instrumento Musical Peças E Acessórios Instrumento Musical Tipo: Suporte De Solo, Aplicação: Trompete, Características Adicionais 1: Estojo Em Tecido, Retratil, Corpo Em Metal, Pés</t>
  </si>
  <si>
    <t>Suporte para trompete, tripé desmontável, estaca
aveludada, pintura de acabamento preta, altura do suporte: 35cm e diâmetro de base:31cm. Produto equivalente ou de qualidade superior ao padrão técnico do modelo Hércules DS-510B.</t>
  </si>
  <si>
    <t>Hercules DS-510B</t>
  </si>
  <si>
    <t>10030</t>
  </si>
  <si>
    <t>O modelo VANRAL 10030 atua como equivalente funcional para a categoria. Ele atende aos requisitos criticos de ser um suporte de chao para trompete com base tripe dobravel, acabamento em pintura preta e altura a partir de 35cm, com valor financeiramente viavel frente ao teto de 138.54 reais. As ressalvas recaem sobre o diametro da base ser de 30cm (frente aos 31cm exigidos) e a ausencia de confirmacao nas fontes quanto ao revestimento aveludado na estaca de contato com a campana.</t>
  </si>
  <si>
    <t>Peças E Acessórios Instrumento Musical Peças E Acessórios Instrumento Musical Tipo: Suporte De Solo, Aplicação: Saxofone Alto Mib, Características Adicionais 1: Estojo Em Tecido, Retratil, Corpo Em Metal, Pés</t>
  </si>
  <si>
    <t>Suporte para sax alto e sax tenor, dobrável, com encostos ajustáveis, altura:420mm, peso:0,98kg, suporta até 10kg . Produto equivalente ou de qualidade superior ao padrão técnico do modelo Hércules DS-530BB.</t>
  </si>
  <si>
    <t>Hercules DS-530BB</t>
  </si>
  <si>
    <t>SM-SS10</t>
  </si>
  <si>
    <t>O modelo SMART SM-SS10 atua como equivalente funcional direto disponivel nas fontes. Trata-se de um suporte de chao dobravel (retratil) compativel com saxofones alto e tenor, com apoios emborrachados para protecao do instrumento e capacidade de carga de 11kg (superando os 10kg exigidos). A ressalva recai apenas sobre a ausencia de confirmacao na fonte quanto ao ajuste independente do encosto e a divergencia de medidas nominais exatas de peso e altura estipuladas no edital, porem atende plenamente a finalidade e ao teto orcamentario.</t>
  </si>
  <si>
    <t>Cabo áudio e vídeo Cabo Áudio E Vídeo Material Condutor: Cobre Ofhc, Aplicação: Instrumento Musical, Características Adicionais: Plug Níquel Zincado, Bitola 0,20mm, Tipo Cabo: Mono, Blindado, Comprimento: 7M, Conectores: P10-P10</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</si>
  <si>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</si>
  <si>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Santo Angelo</t>
  </si>
  <si>
    <t>WIRECONEX</t>
  </si>
  <si>
    <t>WCI-BK 05</t>
  </si>
  <si>
    <t>O modelo WIRECONEX WCI-BK 05 atua como a aproximacao por equivalencia funcional disponivel nas fontes para um cabo de instrumento com revestimento textil (Tweed). Ele atende aos requisitos de condutor em cobre livre de oxigenio (OFC) e conectores P10 mono retos, com comprimento de 5 metros (cobrindo com folga a medida fracionada de 4.57m exigida). As ressalvas recaem sobre a bitola do cabo (24 AWG em vez de 20 AWG), a ausencia de banho de ouro 18K nos conectores e o valor comercial (70.40 reais), que ultrapassa o teto orcamentario estipulado. A versao de 3 metros (WCI-BK 03) atende ao orcamento, porem o comprimento inferior comprometeria a mobilidade exigida.</t>
  </si>
  <si>
    <t>Violacao ao Art. 18 e Art. 41, I da Lei 14.133/21. Constata-se direcionamento velado e defasagem na pesquisa de precos. A exigencia de medidas fracionadas exatas (4.57m, correspondente a 15 pes) e siglas proprietarias de bitola ('G50T', plugues 'NOISE') aponta diretamente para uma linha especifica do fabricante Santo Angelo, ferindo o carater competitivo e isonomico do certame. Ademais, o valor estimado de 55.88 reais e inexequivel para a aquisicao do equivalente comercial de 5 metros com revestimento textil. Requer-se a exclusao das nomenclaturas restritivas, a aceitacao do padrao de mercado de 5 metros e a revisao do valor de referencia.</t>
  </si>
  <si>
    <t>Peças e acessórios instrumento musical Peças E Acessórios Instrumento Musical Tipo: Talabarte, Aplicação: Caixa De Guerra, Características Adicionais: Cor Preta Com Gancho</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</si>
  <si>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</si>
  <si>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16002pt</t>
  </si>
  <si>
    <t>16002PT</t>
  </si>
  <si>
    <t>O modelo LUEN 2025 16002PT corresponde exatamente ao modelo de referencia solicitado no edital. Ele atende aos requisitos criticos: e um talabarte de ombro simples com 2 ganchos metalicos (um em cada extremidade), fita de nylon ajustavel e cor preta. O valor de 27.30 reais enquadra-se no teto orcamentario de 27.51 reais. A ausencia da mencao explicita ao 'apoio em neoprene' na fonte e apenas uma omissao descritiva de catalogo, tratando-se do exato produto referenciado na solicitacao.</t>
  </si>
  <si>
    <t>Peças e acessórios instrumento musical Peças E Acessórios Instrumento Musical Tipo: Palheta, Aplicação: Clarineta, Características Adicionais: Nº 3 1/2</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</si>
  <si>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</si>
  <si>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Vandoren 3.5</t>
  </si>
  <si>
    <t>VANDOREN</t>
  </si>
  <si>
    <t>Palheta para Clarinete Sib (Bb) No 3,5 Tradicional</t>
  </si>
  <si>
    <t>O modelo VANDOREN Palheta para Clarinete Sib (Bb) No 3.5 Tradicional atende integralmente aos requisitos criticos do edital, consistindo no produto exato referenciado. E fabricada em cana natural com corte tradicional frances, possui a resistencia 3.5 exigida e o padrao de embalagem hermetica proprio do fabricante. O valor de 23.40 reais enquadra-se com folga no teto orcamentario de 26.60 reais.</t>
  </si>
  <si>
    <t>Peças e acessórios instrumento musical Peças E Acessórios Instrumento Musical Tipo: Palheta, Aplicação: Saxofone Alto Mib, Características Adicionais: Cana De Origem Francesa Nº 3</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</si>
  <si>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</si>
  <si>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Vandoren 3</t>
  </si>
  <si>
    <t>Palheta para Saxofone Alto (Eb) No 3 Java CX C/10</t>
  </si>
  <si>
    <t>O catalogo nao disponibiliza palhetas para saxofone alto na resistencia 3 em unidades avulsas ou na linha Tradicional (corte frances). Como aproximacao viavel, sugere-se a caixa com 10 unidades da linha Java resistencia 3. As ressalvas recaem sobre a divergencia de corte (a linha Java possui perfil focado em jazz e pop em vez do corte tradicional frances), o formato de venda exclusivo em caixa fechada e o valor unitario equivalente (29.80 reais), que ultrapassa o teto orcamentario estipulado de 27.99 reais por unidade.</t>
  </si>
  <si>
    <t>Violacao ao Art. 18 e Art. 41, I da Lei 14.133/21. Constata-se direcionamento velado ao descrever embalagens, processos e origem de cultivo ('cultivada e raspada totalmente na Franca', 'flow pack') que remetem exclusivamente a uma unica marca do mercado, restringindo o carater competitivo e a isonomia do certame. Ademais, o valor unitario estimado de 27.99 reais apresenta defasagem e e inexequivel para o padrao tecnico premium exigido. Requer-se a revisao do valor de referencia e a adequacao do descritivo para focar em parametros gerais de desempenho e qualidade.</t>
  </si>
  <si>
    <t>Peças e acessórios instrumento musical Peças E Acessórios Instrumento Musical Tipo: Palheta, Aplicação: Saxofone, Características Adicionais: Tenor Sib, Tensão: 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</si>
  <si>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</si>
  <si>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Palheta para Saxofone Tenor (Bb) No 3 Java</t>
  </si>
  <si>
    <t>O catalogo nao possui a palheta para saxofone tenor na resistencia 3 da linha Tradicional (corte frances) em unidade avulsa. Como aproximacao funcional e de marca, sugere-se o modelo da linha Java na mesma resistencia. As severas ressalvas recaem sobre a divergencia de corte (a linha Java possui perfil flexivel focado em jazz e pop, diferindo do corte tradicional frances exigido) e o valor unitario de 42.66 reais, que ultrapassa significativamente o teto orcamentario estipulado de 29.27 reais por unidade.</t>
  </si>
  <si>
    <t>Violacao ao Art. 18 e Art. 41, I da Lei 14.133/21. Constata-se direcionamento velado ao descrever embalagens, processos e origem de cultivo ('cultivada e raspada totalmente na Franca', 'flow pack') que remetem exclusivamente a uma unica marca do mercado, restringindo o carater competitivo e a isonomia do certame. Ademais, o valor unitario estimado de 29.27 reais apresenta defasagem e e inexequivel para o padrao tecnico premium exigido. Requer-se a revisao do valor de referencia e a adequacao do descritivo para focar em parametros gerais de desempenho e qualidade.</t>
  </si>
  <si>
    <t>Peças e acessórios instrumento musical Peças E Acessórios Instrumento Musical Tipo: Baqueta, Aplicação: Bateria, Características Adicionais: Madeira Modelo 5a</t>
  </si>
  <si>
    <t>Baqueta para tarol 7a: par; diâmetro: ~13 mm - comprimento: ~39,00 cm -ponta de madeira ovalada; formato médio; Produto equivalente ou de qualidade superior ao padrão técnico do modelo promark 7a mad tx7aw american hickory.</t>
  </si>
  <si>
    <t>promark 7a mad tx7aw american hickory</t>
  </si>
  <si>
    <t>14031</t>
  </si>
  <si>
    <t>O modelo LUEN 2025 14031 atua como equivalente funcional na categoria 7A, enquadrando-se no orcamento de 46.90 reais. Ele atende as dimensoes essenciais (comprimento aproximado de 39.4 cm e diametro de 13.7 mm) e possui a ponta de madeira oval exigida. A ressalva tecnica recai sobre o material: o edital padroniza a madeira American Hickory (conhecida pela alta densidade), enquanto a opcao compativel com o teto de gastos e fabricada em Marfim. Os unicos modelos em American Hickory 7A disponiveis no catalogo (como o Liverpool TNHY 7AM) custam 51.32 reais, ultrapassando o valor maximo permitido.</t>
  </si>
  <si>
    <t>Violacao ao Art. 18 da Lei 14.133/21. Constata-se leve defasagem na pesquisa de precos em relacao a exigencia de material. O teto de 46.90 reais inviabiliza a aquisicao de baquetas em American Hickory legitimo do padrao Promark referenciado (cujos equivalentes na fonte partem de 51.32 reais). Requer-se a aceitacao expressa de madeiras nacionais (como Marfim ou Jatoba) ou a imediata revisao do valor de referencia para refletir o custo do material importado exigido.</t>
  </si>
  <si>
    <t>Peças e acessórios instrumento musical Peças E Acessórios Instrumento Musical Tipo: Talabarte, Aplicação: Saxofone, Características Adicionais: Apoio Abdominal, Partes Plástica E Alumínio</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</si>
  <si>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</si>
  <si>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Apos busca exata, por equivalencia e por categoria, constatou-se que o catalogo nao possui correias, talabartes ou coletes de sustentacao ergonomicos especificos para saxofone. Os talabartes e correias disponiveis nas fontes (como a linha Luen 16000 ou Custom Sound CSS-5) sao destinados exclusivamente a instrumentos de percussao de marcha ou cordas (violao/guitarra/baixo), sendo desprovidos do apoio abdominal, sistema de distribuicao de peso, e gancho giratorio 360 graus exigidos para a pratica de saxofone. Sendo assim, nao ha produto capaz de atender a finalidade do descritivo.</t>
  </si>
  <si>
    <t>Violacao ao Art. 18 da Lei 14.133/21. Constata-se corte abrupto e incompleto na descricao do objeto no termo de referencia ('Produto equivalente ou de qua por ate 192.16'), o que fere o principio da clareza e objetividade, prejudicando a identificacao do paradigma de mercado e das especificacoes. Ademais, ante a ausencia de itens da categoria correspondente no catalogo de referencia, a cotacao e o atendimento restam inviabilizados.</t>
  </si>
  <si>
    <t>Correia para saxofone tenor/barítono Produto equivalente ou de qualidade superior ao padrão técnico do modelo rico.</t>
  </si>
  <si>
    <t>Rico</t>
  </si>
  <si>
    <t>Apos esgotar as buscas exata, funcional e por categoria, constatou-se que o catalogo nao possui correias ou talabartes desenvolvidos para saxofone. Os itens de sustentacao disponiveis nas fontes destinam-se exclusivamente a instrumentos de cordas (ex: Custom Sound CSS-5) ou de percussao marcial (ex: linha Luen 16000). A adaptacao de um talabarte de percussao para um saxofone tenor ou baritono (instrumentos pesados) e tecnicamente inviavel por nao possuir o design ergonomico, tipo de engate e acolchoamento cervical adequados e exigidos pela categoria de sopro.</t>
  </si>
  <si>
    <t>Ante a ausencia de item da mesma categoria no catalogo de referencia, a cotacao resta inviabilizada, configurando o item como deserto nas fontes consultadas.</t>
  </si>
  <si>
    <t>Peças E Acessórios Instrumento Musical Peças E Acessórios Instrumento Musical Tipo: Kit De Ferragens, Aplicação: Bateria, Características Adicionais: Estante De Prato: Reta, Girafa E Caixa Chimbal E</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</si>
  <si>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</si>
  <si>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Mapex Mars HP6005 Chrome</t>
  </si>
  <si>
    <t>DMHK450</t>
  </si>
  <si>
    <t>O modelo MICHAEL DMHK450 atua como equivalente funcional compativel com o teto orcamentario de 2050.30 reais. Ele atende aos requisitos criticos fornecendo ferragens com pernas duplas (estabilidade), acabamento cromado, e inclui todas as pecas exigidas: estante girafa, estante de caixa, maquina de chimbal e pedal simples, oferecendo ainda uma estante reta adicional como vantagem. As ressalvas recaem sobre a ausencia de confirmacao de um case de transporte na composicao do kit e a falta de descricoes de itens proprietarios da marca de referencia (como arruelas multi-sustain e borboletas de design especifico).</t>
  </si>
  <si>
    <t>Violacao ao Art. 18 e Art. 41, I da Lei 14.133/21. O edital apresenta descritivo que copia especificacoes exclusivas e exatas da marca Mapex (ex: 'arruelas: multi-sustain feltro/borracha', peso bruto exato de 19 kg e dimensoes de embalagem de 30 x 80 x 30 cm), configurando direcionamento velado da licitacao e restringindo a competitividade. Requer-se a exclusao das exigencias dimensionais estritas e caracteristicas proprietarias para garantir a isonomia do certame.</t>
  </si>
  <si>
    <t>Peças E Acessórios Instrumento Musical Peças E Acessórios Instrumento Musical Tipo: Jogo De Sapatilha, Aplicação: Saxofone Soprano, Características Adicionais 1: Em Couro</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</si>
  <si>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</si>
  <si>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Yamaha YAS-62</t>
  </si>
  <si>
    <t>Apos exaustiva busca nas fontes fornecidas, constata-se que o catalogo nao possui jogos de sapatilhas, almofadas de reposicao ou kits de manutencao similares para saxofones ou outros instrumentos de sopro. O termo 'sapatilhas' e citado nas fontes apenas como um componente estrutural integrado aos saxofones completos comercializados (como nos modelos da Yamaha e Tokai), nao havendo a comercializacao do kit de reposicao como um consumivel ou acessorio avulso. Nao ha produto na fonte capaz de atender a finalidade do descritivo.</t>
  </si>
  <si>
    <t>Violacao ao Art. 18 e Art. 41, I da Lei 14.133/21. Item deserto nas fontes de referencia, inviabilizando a cotacao. Ademais, a especificacao engessada com 14 medidas fracionadas exatas em milimetros (ex: 43,8 mm, 42,3 mm, 14,4 mm) associada explicitamente a peca de reposicao de uma marca e modelo especificos (Yamaha YAS-62), sem a previsao de compatibilidade com outras marcas ou margem de tolerancia, caracteriza direcionamento e restritividade tecnica excessiva, frustrando o carater competitivo do certame. Requer-se a adequacao do descritivo.</t>
  </si>
  <si>
    <t>Peças E Acessórios Instrumento Musical Peças E Acessórios Instrumento Musical Tipo: Jogo De Sapatilha, Aplicação: Saxofone Tenor, Características Adicionais 1: Em Couro</t>
  </si>
  <si>
    <t>Jogo de sapatilha para saxofone Tenor yas-62 da yamanha, almofadas para substituição, em couro legítimo de alta qualidade, com ressonador de metal.</t>
  </si>
  <si>
    <t>Apos exaustiva busca nas fontes fornecidas, constata-se que o catalogo nao possui jogos de sapatilhas, almofadas de reposicao ou kits de manutencao para saxofones. O termo sapatilhas e citado nas fontes apenas como um componente estrutural integrado aos instrumentos completos comercializados, nao havendo a comercializacao do kit de reposicao como um consumivel avulso. Nao ha produto na fonte capaz de atender a finalidade do descritivo.</t>
  </si>
  <si>
    <t>Violacao ao Art. 18 e Art. 41, I da Lei 14.133/21. Item deserto nas fontes de referencia, inviabilizando a cotacao. A especificacao atrelada explicitamente a peca de reposicao de uma marca e modelo especificos da Yamaha, sem margem de compatibilidade com outros fabricantes, caracteriza direcionamento e restritividade tecnica excessiva, frustrando o carater competitivo do certame. Requer-se a adequacao do descritivo.</t>
  </si>
  <si>
    <t>Peças e acessórios instrumento musical Peças E Acessórios Instrumento Musical Tipo: Jogo De Sapatilha, Aplicação: Flauta Clarinete, Características Adicionais: Jogo De Sapatilha Para Clarinete Buffet Crampon</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</si>
  <si>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</si>
  <si>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Yamaha YCL 3. 4. 8. 9xx</t>
  </si>
  <si>
    <t>Apos exaustiva busca nas fontes fornecidas, constata-se que o catalogo nao possui jogos de sapatilhas, almofadas de reposicao ou kits de manutencao para clarinetes. O termo sapatilhas e citado nas fontes apenas como um componente estrutural integrado aos instrumentos completos comercializados, nao havendo a comercializacao do kit de reposicao como um consumivel avulso. Nao ha produto na fonte capaz de atender a finalidade do descritivo.</t>
  </si>
  <si>
    <t>Violacao ao Art. 18 e Art. 41, I da Lei 14.133/21. Item deserto nas fontes de referencia, inviabilizando a cotacao. A especificacao atrelada explicitamente a peca de reposicao de uma marca e modelos especificos da Yamaha, incluindo espessura exata de 2,7 mm, sem margem de compatibilidade clara com outros fabricantes e ausente na fonte de balizamento, caracteriza direcionamento e restritividade tecnica excessiva, frustrando o carater competitivo do certame. Requer-se a adequacao do descritivo.</t>
  </si>
  <si>
    <t>Peças E Acessórios Instrumento Musical Peças E Acessórios Instrumento Musical Tipo: Kit De Limpeza, Aplicação: Saxofone Alto, Características Adicionais 1: 07 Itens: 01 Escova Secadora Para O Instrumento 0</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</si>
  <si>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</si>
  <si>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Yamaha YAC SAXKIT</t>
  </si>
  <si>
    <t>SM-070</t>
  </si>
  <si>
    <t>O modelo SMART SM-070 atua como equivalente funcional para a categoria de kit de manutencao para saxofones, enquadrando-se no teto orcamentario de 61.53 reais. Ele atende a finalidade principal contendo 5 itens essenciais de limpeza e lubrificacao: escovao em nylon para corpo e tudel, pano de microfibra de alta absorcao, escova de bocal, graxa de cortica e oleo sintetico para chaves. A ressalva recai sobre a composicao do kit, que diverge do modelo Yamaha de referencia ao nao incluir papel de limpeza de almofadas e manual impresso, porem compensa ao oferecer oleo para o mecanismo de chaves, atendendo perfeitamente a rotina de conservacao do instrumento.</t>
  </si>
  <si>
    <t>Violacao ao Art. 18 da Lei 14.133/21. Constata-se restritividade tecnica excessiva ao descrever a composicao exata e o numero engessado de itens (6 produtos, manual especifico) correspondentes exclusivamente ao kit blister da marca Yamaha (YAC SAXKIT). Embora o edital cite 'ou equivalente', a exigencia de consumiveis muito especificos aglutinados no mesmo kit inviabiliza a aceitacao de kits padrao de mercado que cumprem a mesma finalidade de manutencao basica. Requer-se a flexibilizacao da composicao do kit.</t>
  </si>
  <si>
    <t>Peças E Acessórios Instrumento Musical Peças E Acessórios Instrumento Musical Tipo: Kit De Limpeza, Aplicação: Clarinete, Características Adicionais: 02 Escovas Para O Corpo Do Clarinete, 01 Flanela,</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</si>
  <si>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</si>
  <si>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Yamaha YAC CLKIT</t>
  </si>
  <si>
    <t>Apos esgotar as buscas exata, por equivalencia e por categoria, constatou-se que o catalogo nao possui kit de limpeza e manutencao desenvolvido para clarinete. Os kits de manutencao disponiveis nas fontes destinam-se exclusivamente a trompetes (SMART SM-055) e saxofones (SMART SM-070). A adaptacao do kit de saxofone para o clarinete e tecnicamente inviavel e contraindicada pela engenharia do produto, visto que o escovao de secagem (swab) possui diametro superdimensionado para o saxofone e fatalmente ficaria entalado no calibre estreito do tubo do clarinete, causando danos severos ao instrumento. Sendo o limpador o item mais critico do kit, nao ha produto na fonte capaz de atender a finalidade com seguranca.</t>
  </si>
  <si>
    <t>Violacao ao Art. 18 e Art. 41, I da Lei 14.133/21. O edital apresenta direcionamento velado ao exigir uma composicao exata e engessada de itens (incluindo 'papel de limpeza de almofadas' e 'manual de cuidados') que remetem exclusivamente a embalagem comercial da marca Yamaha (YAC CLKIT), restringindo a aceitacao de outros arranjos de mercado. Ademais, como o catalogo de balizamento nao possui produto compativel com a categoria e o calibre do instrumento exigido, a cotacao resta inviabilizada, configurando o item como deserto nas fontes consultadas.</t>
  </si>
  <si>
    <t>Peças E Acessórios Instrumento Musical Peças E Acessórios Instrumento Musical Tipo: Kit De Limpeza, Aplicação: Trombone, Características Adicionais 1: Óleo Lubrificante,Escovas, Graxa E Flanela</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</si>
  <si>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</si>
  <si>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Yamaha YAC SL-M-KIT</t>
  </si>
  <si>
    <t>Apos busca exata, por equivalencia e por categoria, constata-se que o catalogo nao possui kit de limpeza e manutencao desenvolvido para trombone de vara. Os kits de manutencao disponiveis nas fontes destinam-se exclusivamente a trompetes (SMART SM-055) e saxofones (SMART SM-070). A adaptacao do kit de trompete para o trombone e tecnicamente inviavel e contraindicada pela engenharia do produto, visto que o trombone exige creme lubrificante especifico espesso para a vara (slide cream) em vez de oleo de baixa viscosidade para pistos, alem de a haste flexivel de limpeza do trompete possuir comprimento e diametro incompativeis com a extensa tubulacao do trombone. Nao ha produto na fonte capaz de atender a finalidade do descritivo.</t>
  </si>
  <si>
    <t>Violacao ao Art. 18 e Art. 41, I da Lei 14.133/21. O edital apresenta direcionamento velado ao exigir uma composicao exata e engessada de itens com descricoes milimetricas e exclusivas (como recipiente de 26 ml e twist stick de 5g) que remetem diretamente a embalagem comercial da marca Yamaha (YAC SL-M-KIT), frustrando a competitividade e a isonomia. Ademais, como o catalogo de balizamento nao possui produto compativel com a categoria e as dimensoes do instrumento exigido, a cotacao resta inviabilizada, configurando o item como deserto nas fontes consultadas.</t>
  </si>
  <si>
    <t>Peças e acessórios instrumento musical Peças E Acessórios Instrumento Musical Tipo: Kit De Limpeza, Aplicação: Bombardino, Características Adicionais 1: 05 Itens 01 Óleo Lubrificante Para Pistos01 Crem</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</si>
  <si>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</si>
  <si>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Apos busca exata, por equivalencia e por categoria, constata-se que o catalogo nao possui kit de limpeza e manutencao desenvolvido para tuba. Os kits de manutencao disponiveis nas fontes destinam-se exclusivamente a trompetes (SMART SM-055) e saxofones (SMART SM-070). A adaptacao do kit de trompete para a tuba e tecnicamente inviavel e contraindicada pela engenharia do produto, visto que as escovas de bocal, escovas para a camisa do pistao e a haste flexivel do trompete possuem comprimento e diametro severamente subdimensionados para a tubulacao e valvulas massivas da tuba, nao exercendo o atrito e alcance necessarios para a higienizacao. Nao ha produto na fonte capaz de atender a finalidade do descritivo.</t>
  </si>
  <si>
    <t>Violacao ao Art. 18 e Art. 41, I da Lei 14.133/21. O edital apresenta direcionamento velado ao exigir uma composicao exata e engessada de itens com descricoes milimetricas e exclusivas (como frasco de 38 ml com tampa de seguranca e twist stick de 5g) que remetem diretamente a embalagem comercial da marca Yamaha, frustrando a competitividade e a isonomia. Observa-se ainda corte abrupto no texto base ('modelo kit manutencao de por ate 75.60'). Ademais, como o catalogo de balizamento nao possui produto compativel com a categoria e as proporcoes do instrumento exigido, a cotacao resta inviabilizada, configurando o item como deserto nas fontes consultadas.</t>
  </si>
  <si>
    <t>Peças e acessórios instrumento musical Peças E Acessórios Instrumento Musical Tipo: Cortiça Portuguesa, Aplicação: Tudel De Saxofones, Características Adicionais: 62 Mm De Comprimento, 40 Mm De Largura, 2 Mm De</t>
  </si>
  <si>
    <t>Cortiças portuguesas para tudel de saxofones, soprano, alto, tenor e barítono com as dimensões: 10x30cm e espessura 2mm.</t>
  </si>
  <si>
    <t>Apos exaustiva busca nas fontes fornecidas, constata-se que o catalogo nao possui folhas de cortica natural, corticas pre-cortadas ou insumos de reposicao de cortica para tudel de saxofones. O termo 'cortica' e citado nas fontes apenas como caracteristica construtiva integrada aos saxofones completos comercializados (ex: modelos da Tokai com 'corticas portuguesas') ou como referencia a 'graxa para cortica' no kit de limpeza SMART SM-070. Nao ha a comercializacao do material bruto (insumo de luthieria) avulso com as dimensoes exigidas (10x30cm). Nao ha produto na fonte capaz de atender a finalidade do descritivo.</t>
  </si>
  <si>
    <t>Violacao ao Art. 18 da Lei 14.133/21. Ante a ausencia de item da mesma categoria (insumo para luthieria/reposicao) no catalogo de balizamento, a cotacao resta inviabilizada, configurando o item como deserto nas fontes consultadas. Ademais, a exigencia de origem geografica exata ('portuguesas') sem a demonstracao de inviabilidade de uso de corticas de outras origens fere o Art. 41, I, por caracterizar restritividade indevida e direcionamento da competitividade.</t>
  </si>
  <si>
    <t>Peças e acessórios instrumento musical Peças E Acessórios Instrumento Musical Tipo: Pele, Aplicação: Bombo De Bateria 22, Características Adicionais: Filme Simples Com 7 Mil (0,18mm) De Espessura</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</si>
  <si>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</si>
  <si>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evans bd22emad2 / emperor clear</t>
  </si>
  <si>
    <t>LUEN</t>
  </si>
  <si>
    <t>11127</t>
  </si>
  <si>
    <t>O modelo LUEN 11127 atua como equivalente funcional para a categoria, enquadrando-se com folga no teto orcamentario de 462.00 reais. Trata-se de uma pele batedeira transparente de 22 polegadas, construida em filme duplo com anel abafador interno, caracteristica que atende a finalidade sonora focada do modelo Evans EMAD2 citado como referencia. As ressalvas recaem sobre a espessura dos filmes: enquanto o edital exige a medida exata de 7 mil + 7 mil (padrao Emperor), a opcao da fonte possui 7 mil + 5 mil. Ademais, o abafador da Luen e interno e fixo, diferindo do sistema externo removivel da Evans. Caso a preferencia estrita seja por uma pele sem anel abafador (padrao Emperor flutuante livre), o modelo LUEN 11027 (127.56 reais) tambem atende a finalidade.</t>
  </si>
  <si>
    <t>Violacao ao Art. 18 e Art. 41, I da Lei 14.133/21. Constata-se contradicao e direcionamento no termo de referencia ao misturar especificacoes proprietarias de duas fabricantes distintas em um unico item (filmes duplos flutuantes exatos de 7+7 mil da linha Remo Emperor vs padrao tecnico da linha Evans EMAD2, que utiliza abafador externo). Tal aglutinacao cria um frankenstein tecnico que restringe a aceitacao de similares do mercado, ferindo a isonomia e a competitividade do certame. Requer-se a retificacao do descritivo focando apenas nas caracteristicas estruturais gerais e de desempenho esperadas.</t>
  </si>
  <si>
    <t>Peças e acessórios instrumento musical Peças E Acessórios Instrumento Musical Tipo: Pele, Aplicação: Caixa De Bateria 14, Características Adicionais: Porosa</t>
  </si>
  <si>
    <t>Pele caixa 14” tipo (hidraulica porosa) com baixo-end e maior durabilidade, construída com 2-piles de filme clear de 7mil. Produto equivalente ou de qualidade superior ao padrão técnico do modelo remo 14" pinstripe porosa ps- 0114-00.</t>
  </si>
  <si>
    <t>Remo 14 Pinstripe Porosa PS-0114-00</t>
  </si>
  <si>
    <t>LDH</t>
  </si>
  <si>
    <t>98425</t>
  </si>
  <si>
    <t>O modelo LDH 98425 atua como equivalente funcional para o padrao Remo Pinstripe Porosa. Ele atende aos requisitos criticos de ser uma pele de 14 polegadas, porosa (coated) na cor branca tradicional, construida com exatos dois filmes de 7 mil (totalizando 14 mil de espessura), o que garante a alta durabilidade e o foco em frequencias graves (baixo-end) exigidos. A ressalva recai sobre a nomenclatura 'hidraulica' citada no edital, pois o padrao de mercado do duplo filme basico nao contem oleo selado em toda a extensao (caracteristica da linha Pinstripe, que utiliza apenas um anel redutor de borda). O modelo atende perfeitamente a finalidade com folga frente ao teto de 188.79 reais.</t>
  </si>
  <si>
    <t>Violacao ao Art. 18 e Art. 41, I da Lei 14.133/21. Constata-se contradicao tecnica no descritivo ao exigir pele 'tipo hidraulica' atrelada ao modelo de referencia 'Remo Pinstripe', que e estruturalmente de duplo filme, mas nao hidraulica convencional (com oleo). Ademais, a exigencia de espessuras exatas ('2-piles de filme clear de 7mil') copiada diretamente do catalogo da Remo, associada ao modelo especifico, configura direcionamento e restringe indevidamente a competitividade. Requer-se a adequacao do texto para padroes gerais de desempenho (ex: pele duplo filme porosa de alta durabilidade).</t>
  </si>
  <si>
    <t>Peças E Acessórios Instrumento Musical Peças E Acessórios Instrumento Musical Tipo: Kit De Pele, Aplicação: Bateria, Características Adicionais: Filme Duplo 10, 12, 14</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</si>
  <si>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</si>
  <si>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Jogo</t>
  </si>
  <si>
    <t>Remo Ambassador Coated (10459)</t>
  </si>
  <si>
    <t>11166</t>
  </si>
  <si>
    <t>O modelo LUEN 2025 11166 atua como equivalente funcional para a categoria de kit de peles, enquadrando-se com folga no teto orcamentario. Ele fornece a exata configuracao de medidas do modelo de referencia (tons de 10, 12 e 14 polegadas, mais caixa de 14 polegadas). A ressalva decorre da contradicao no proprio edital, que exige medidas '8, 10, 12 e 14' e 'filme clear de 7mil' na descricao inicial, porem estabelece como paradigma um kit '10, 12, 14 e 14' da linha Ambassador Coated (que tem padrao de 10mil e acabamento poroso). O kit sugerido da Luen harmoniza essas exigencias ao combinar peles transparentes (Double Clear) para os tons e branca porosa (Coated) para a caixa, fabricadas em poliester com aro de aluminio, atendendo perfeitamente a finalidade sonora.</t>
  </si>
  <si>
    <t>Violacao ao Art. 18 e Art. 41, I da Lei 14.133/21. Constata-se grave contradicao no termo de referencia: a descricao inicial exige medidas (8, 10, 12, 14) e espessuras (filme clear 7mil) incompativeis com o modelo paradigma citado (Remo Ambassador Coated 10, 12, 14 e 14, que e porosa e possui padrao 10mil). Tal ambiguidade fere a objetividade do certame e prejudica a isonomia na formulacao de propostas. Ademais, a mescla de caracteristicas gera um 'frankenstein' tecnico. Requer-se a retificacao do descritivo para sanar as divergencias de medidas e alinhar a especificacao ao padrao de mercado desejado.</t>
  </si>
  <si>
    <t>Peças e acessórios instrumento musical Peças E Acessórios Instrumento Musical Tipo: Bag Para Bateria, Aplicação: Instrumentos Musicais, Características Adicionais: Nylon 600, Revestimento Interno: Eva, Com Puxador</t>
  </si>
  <si>
    <t>Bag para ferragens de bateria: cor preta; forração interna; alça de transporte externa (mão e de ombro); costura reforçada; tipo do zíper largo; com bolso externo Produto equivalente ou de qualidade superior ao padrão técnico do modelo tama pbh02l.</t>
  </si>
  <si>
    <t>Tama PBH02L</t>
  </si>
  <si>
    <t>KA003C</t>
  </si>
  <si>
    <t>O modelo KSR KA003C atua como a aproximacao por categoria disponivel no catalogo (bag para tripes e suportes). Ele atende a finalidade basica de acondicionar suportes tubulares em um involucro de lona preta resistente, com dimensoes de 85x33x20 cm (proximas ao comprimento do modelo de referencia). Contudo, ha severas ressalvas: a capacidade de carga da opcao sugerida e de apenas 8 kg (projetada para tripes de iluminacao ou caixas acusticas), sendo estruturalmente inferior para o transporte de um kit completo de ferragens de bateria (que pode ultrapassar 20 kg de puro metal). Alem disso, a fonte nao confirma forracao interna, ziper largo, bolso externo ou alca de ombro. O valor de 31.00 reais reflete essa construcao mais simples frente ao teto orcamentario de 418.35 reais.</t>
  </si>
  <si>
    <t>Violacao ao Art. 18 e Art. 41, I da Lei 14.133/21. Constata-se que o catalogo de balizamento nao possui item com a robustez e capacidade de carga adequadas para o peso de um set de ferragens de bateria, oferecendo apenas capas para tripes leves. Alem disso, a descricao do edital utiliza caracteristicas engessadas (tipo de ziper, costura e bolsos) que remetem diretamente a embalagem comercial do modelo Tama PBH02L, caracterizando direcionamento velado. Requer-se a revisao do descritivo para focar em capacidade de carga (kg) e dimensoes, ampliando a competitividade e sanando a defasagem do balizamento.</t>
  </si>
  <si>
    <t>Peças e acessórios instrumento musical Peças E Acessórios Instrumento Musical Tipo: Baqueta, Aplicação: Bateria, Características Adicionais: Ponta Madeira</t>
  </si>
  <si>
    <t>Baquetas par, material em madeira, cor natural, tipo american classic com ponta de madeira e revestimento em laca. Produto equivalente ou de qualidade superior ao padrão técnico do modelo Vic firth 1264 2b.</t>
  </si>
  <si>
    <t>Vic firth 1264 2b</t>
  </si>
  <si>
    <t>14028</t>
  </si>
  <si>
    <t>O modelo LUEN 2025 14028 atua como equivalente funcional na categoria 2B, enquadrando-se no orcamento de 47.28 reais. Ele atende as dimensoes essenciais, cor natural e possui a ponta de madeira exigida. A ressalva tecnica recai sobre o material: o edital faz referencia a linha American Classic (conhecida pela utilizacao da madeira Hickory), enquanto a opcao compativel com o teto de gastos e fabricada em Marfim. Os modelos em American Hickory 2B disponiveis no catalogo (como o Liverpool TNHY 2BM) custam 51.32 reais, ultrapassando o valor maximo permitido.</t>
  </si>
  <si>
    <t>Violacao ao Art. 18 da Lei 14.133/21. Constata-se defasagem na pesquisa de precos em relacao ao padrao de referencia exigido. O teto de 47.28 reais inviabiliza a aquisicao de baquetas em Hickory legitimo do padrao Vic Firth referenciado (cujos equivalentes na fonte partem de 51.32 reais). Requer-se a aceitacao expressa de madeiras nacionais (como Marfim) ou a imediata revisao do valor de referencia para refletir o custo do material importado.</t>
  </si>
  <si>
    <t>Peças e acessórios instrumento musical Peças E Acessórios Instrumento Musical Tipo: Óleo Lubrificante, Aplicação: Para Pistos</t>
  </si>
  <si>
    <t>Óleo para instrumentos de pistos: desenvolvido com fórmula de base sintética; composição: óleo sintético; produto não perecível; inodoro; quantidade: ~60 ml. Produto equivalente ou de qualidade superior ao padrão técnico do modelo yamaha (valve oil regular).</t>
  </si>
  <si>
    <t>yamaha (valve oil regular)</t>
  </si>
  <si>
    <t>Apos esgotar as buscas exata, por equivalencia e por categoria, constatou-se que o catalogo nao possui oleo lubrificante para instrumentos de pistos comercializado de forma avulsa. O unico item disponivel nas fontes que contem fluido lubrificante e o kit de manutencao para trompetes (SMART SM-055). No entanto, o fornecimento de um kit de limpeza completo para suprir a demanda de um frasco avulso de 60ml e tecnicamente e comercialmente inviavel, visto que o frasco do kit possui volume significativamente inferior ao exigido e forcaria a aquisicao de acessorios indesejados. Nao ha produto na fonte capaz de atender a finalidade especifica do descritivo de forma isolada.</t>
  </si>
  <si>
    <t>Violacao ao Art. 18 da Lei 14.133/21. Ante a ausencia do insumo lubrificante avulso no catalogo de balizamento, a cotacao do item resta inviabilizada, configurando-o como deserto nas fontes consultadas. Alem disso, a exigencia de volume aproximado de 60ml atrelada ao padrao de uma marca especifica (Yamaha) restringe a competitividade (Violacao ao Art. 41, I), sendo recomendavel a aceitacao de frascos com volumes variados presentes no mercado para ampliar o certame.</t>
  </si>
  <si>
    <t>Peças e acessórios instrumento musical Peças E Acessórios Instrumento Musical Tipo: Óleo Lubrificante, Aplicação: Instrumentos De Sopro</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</si>
  <si>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</si>
  <si>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Yamaha</t>
  </si>
  <si>
    <t>Apos esgotar as buscas exata, por equivalencia e por categoria, constatou-se que o catalogo nao possui oleo lubrificante para chaves de instrumentos de sopro comercializado de forma avulsa. O unico item disponivel nas fontes que contem oleo para mecanismo de chaves e o kit de manutencao para saxofones (SMART SM-070). O fornecimento de um kit de limpeza completo para suprir a demanda de um frasco avulso e tecnicamente e comercialmente inviavel. Nao ha produto na fonte capaz de atender a finalidade especifica do descritivo de forma isolada.</t>
  </si>
  <si>
    <t>Violacao ao Art. 18 e Art. 41, I da Lei 14.133/21. Ante a ausencia do insumo lubrificante avulso no catalogo de balizamento, a cotacao do item resta inviabilizada, configurando-o como deserto nas fontes consultadas. Alem disso, a exigencia de caracteristicas proprietarias ('mistura especial patenteada') atreladas ao padrao de uma marca especifica (Yamaha) e de volume exato de 20ml restringe indevidamente a competitividade do certame.</t>
  </si>
  <si>
    <t>Peças e acessórios instrumento musical Peças E Acessórios Instrumento Musical Tipo: Creme, Aplicação: Trombone Á Vara</t>
  </si>
  <si>
    <t>Lubrificante para trombone: lubrificante cremoso para vara de trombone; embalagem à prova de vazamentos; 26g; aplicação com borrifar de água. Produto equivalente ou de qualidade superior ao padrão técnico do modelo yamaha slide cream ou trombontine.</t>
  </si>
  <si>
    <t>Yamaha Slide Cream ou Trombontine</t>
  </si>
  <si>
    <t>Apos esgotar as buscas exata, por equivalencia funcional e por categoria, constata-se que o catalogo nao possui lubrificante cremoso (slide cream) para vara de trombone comercializado de forma avulsa. Os unicos insumos lubrificantes disponiveis nas fontes integram kits de limpeza (ex: SMART SM-055 para trompete), cujo oleo possui baixa viscosidade e e destinado a pistoes, sendo tecnicamente ineficaz e contraindicado para o mecanismo de vara do trombone (que exige creme espesso ativado por aspersao de agua). Nao ha produto na fonte capaz de atender a finalidade do descritivo.</t>
  </si>
  <si>
    <t>Violacao ao Art. 18 e Art. 41, I da Lei 14.133/21. O termo de referencia apresenta direcionamento ao fixar o peso exato (26g) e atrelar a especificacao a embalagens comerciais de marcas especificas (Yamaha e Trombontine), restringindo indevidamente a competitividade. Ademais, ante a ausencia do insumo no catalogo de balizamento, a cotacao resta inviabilizada, configurando o item como deserto nas fontes consultadas. Requer-se a adequacao do descritivo para prever margens de tolerancia no volume/peso (ex: 20g a 35g) e focar em parametros de desempenho.</t>
  </si>
  <si>
    <t>Peças e acessórios instrumento musical Peças E Acessórios Instrumento Musical Tipo: Creme Sintético, Aplicação: Instrumentos De Sopro, Características Adicionais: Greaze Para Cortiça</t>
  </si>
  <si>
    <t>Grease para cortiças de instrumentos musicais para lubrificação de cortiças e pompas, evitando o atrito entre as partes, com embalagem de 4ml. Produto equivalente ou de qualidade superior ao padrão técnico do modelo yamaha Cork Grease.</t>
  </si>
  <si>
    <t>Yamaha Cork Grease</t>
  </si>
  <si>
    <t>Apos esgotar as buscas exata, por equivalencia e por categoria, constatou-se que o catalogo nao possui graxa para cortica (cork grease) comercializada de forma avulsa. O unico item disponivel nas fontes que contem graxa de cortica e o kit de manutencao para saxofones (SMART SM-070). O fornecimento de um kit de limpeza completo para suprir a demanda de um tubo avulso de 4ml e tecnicamente e comercialmente inviavel. Nao ha produto na fonte capaz de atender a finalidade especifica do descritivo de forma isolada.</t>
  </si>
  <si>
    <t>Violacao ao Art. 18 e Art. 41, I da Lei 14.133/21. Ante a ausencia do insumo lubrificante avulso no catalogo de balizamento, a cotacao do item resta inviabilizada, configurando-o como deserto nas fontes consultadas. Alem disso, a exigencia de volume exato de 4ml atrelada ao padrao de uma marca especifica (Yamaha Cork Grease) restringe indevidamente a competitividade do certame.</t>
  </si>
  <si>
    <t>Peças E Acessórios Instrumento Musical Peças E Acessórios Instrumento Musical Tipo: Encordoamento, Aplicação: Baixo, Características Adicionais: Para Contrabaixo Elétrico De 5 Cordas</t>
  </si>
  <si>
    <t>Encordoamento para contrabaixo elétrico 5 (cinco) cordas: com revestimento nanoweb; medida: .045 .065 .085 .105 . 130; long scale; light; material: aço. Referência elixir ligth /l.s.045 5c. Igual ou de qualidade superior.</t>
  </si>
  <si>
    <t>Elixir Light L.S. 045 5c</t>
  </si>
  <si>
    <t>CONTRABAIXO 5C 045</t>
  </si>
  <si>
    <t>O modelo SMART CONTRABAIXO 5C 045 atua como equivalente funcional, enquadrando-se com folga no teto orcamentario de 110.60 reais. Ele atende aos requisitos criticos de ser um encordoamento para contrabaixo de 5 cordas de aco, fornecendo os calibres exatos exigidos (.045, .065, .085, .105, .130). A ressalva recai sobre o tipo de revestimento: enquanto o edital exige a tecnologia proprietaria 'nanoweb' (caracteristica da marca Elixir), o modelo sugerido possui revestimento tradicional em Niquel (Nickel-Plated Steel).</t>
  </si>
  <si>
    <t>Violacao ao Art. 18 e Art. 41, I da Lei 14.133/21. Constata-se defasagem na pesquisa de precos, visto que o valor maximo de 110.60 reais e manifestamente inexequivel para a aquisicao de encordoamentos de contrabaixo de 5 cordas da marca Elixir com tecnologia Nanoweb. Ademais, a exigencia de tecnologia proprietaria ('nanoweb') sem justificativa de inviabilidade de outros materiais caracteriza direcionamento e restringe indevidamente a competitividade do certame. Requer-se a aceitacao de encordoamentos padrao de aco niquelado que atendam as medidas.</t>
  </si>
  <si>
    <t>Peças e acessórios instrumento musical Peças E Acessórios Instrumento Musical Tipo: Estilo Selim/Encosto, Aplicação: Bateria, Características Adicionais: Acolchoado, Com 17 De Largura E 4 De Altura Com</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</si>
  <si>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</si>
  <si>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Mapex T400</t>
  </si>
  <si>
    <t>DT 2</t>
  </si>
  <si>
    <t>O modelo VANRAL DT 2 atua como equivalente de qualidade superior, enquadrando-se com folga no teto orcamentario de 467.67 reais. Ele atende aos requisitos criticos de design e funcionalidade: possui assento redondo com 30 cm de diametro, revestimento em vinil, pes de borracha e o exato sistema de regulagem de altura em 5 posicoes (estagios) por pino de travamento. A ressalva tecnica e, na verdade, uma melhoria permitida pela clausula de 'qualidade superior' do edital: a estrutura utiliza pernas duplas em vez de ferragem simples, oferecendo maior estabilidade ao musico. As dimensoes de embalagem nao sao detalhadas na fonte, tratando-se de requisitos acessorios.</t>
  </si>
  <si>
    <t>Violacao ao Art. 18 e Art. 41, I da Lei 14.133/21. O edital apresenta um descritivo que copia dados exatos e irrelevantes para a performance do instrumento, como dimensoes milimetricas da caixa da unidade (18 x 45 x 39 cm) e peso bruto de embalagem (5,5 kg), correspondentes a ficha comercial especifica do modelo Mapex T400. Exigir especificacoes de embalagem de um fabricante especifico caracteriza direcionamento velado e restritividade indevida, frustrando o carater competitivo do certame. Requer-se a exclusao das exigencias exclusivas de embalagem.</t>
  </si>
  <si>
    <t>Peças e acessórios instrumento musical Peças E Acessórios Instrumento Musical Tipo: Kit Com 08 Peças Batente Para Rotores, Aplicação: Trompa, Trombone E Trompete, Características Adicionais: Na Côr Preta</t>
  </si>
  <si>
    <t>Jogo de guias para trompete, cornets e flugelhorns yamanha, contendo 3 (três) guias de pistos para trompetes yamaha. Modelo de referência jogo de guias trompete tr6310, similar ou superior QUANTIDADES INDIVIDUALIZADAS 54º BIS (160005)</t>
  </si>
  <si>
    <t>Yamaha TR6310</t>
  </si>
  <si>
    <t>Apos exaustiva busca nas fontes fornecidas, constata-se que o catalogo nao possui jogos de guias de pisto (valve guides) ou pecas de reposicao mecanica interna para trompetes, cornets ou flugelhorns. Nao ha produto na fonte capaz de atender a finalidade do descritivo.</t>
  </si>
  <si>
    <t>Violacao ao Art. 18 e Art. 41, I da Lei 14.133/21. O edital apresenta direcionamento ao exigir peca de reposicao especifica e proprietaria atrelada a uma marca e modelo exatos (Yamaha TR6310), sem a comprovacao de padronizacao formal que justifique a exclusividade. Ademais, como o catalogo de balizamento nao possui o item, a cotacao resta inviabilizada, configurando o item como deserto nas fontes consultadas.</t>
  </si>
  <si>
    <t>Estante - partitura Estante - Partitura Material: Metal, Tipo: Desmontável, Largura: 500MM, Altura: 1500MM</t>
  </si>
  <si>
    <t>ESTANTE DE PARTITURA CARACTERISTICAS: BOLSA DE ACOMPANHAMENTO; MATERIAL: FERRO A3, PEÇAS DE METAL. PÉS EMBORRACHADOS. CAPACIDADE SUPORTADA: 2,5 KG/200 FOLHAS COR: PRETA</t>
  </si>
  <si>
    <t>Boa Vista/RR</t>
  </si>
  <si>
    <t>926910_900052026</t>
  </si>
  <si>
    <t>SM-008</t>
  </si>
  <si>
    <t>O modelo SMART SM-008 atende integralmente aos requisitos criticos do edital. Trata-se de uma estante de partitura fabricada em aco (liga equivalente e estruturalmente superior ao ferro A3 solicitado), na cor preta, equipada com pes de borracha antiderrapante e acompanhada da exigida bolsa para transporte. Sua estrutura tubular robusta e reforcada suporta com seguranca a capacidade de carga solicitada de 2,5 kg, enquadrando-se perfeitamente no teto orcamentario.</t>
  </si>
  <si>
    <t>AGÔGÔ: FEITO DE OURIÇO DA CASTANHA DO PARÁ, 2 OURIÇOS DE CASTANHA DO PARÁ, COR NATURAL, 1 BAQUETA DE MADEIRA, TAMANHO APROXIMADO: 37 X 13 X 13 CM (CxAxL), PESO APROXIMADO: 300G.</t>
  </si>
  <si>
    <t>LAL3011</t>
  </si>
  <si>
    <t>O modelo GOPE LAL3011 atende aos requisitos criticos de construcao e finalidade sonora. Trata-se de um agogo fabricado com duas castanhas naturais de tamanhos distintos, acompanhado de baqueta, entregando o exato timbre amadeirado e organico exigido em substituicao aos modelos de metal. As dimensoes milimetricas e o peso cravado sao tolerancias acessorias. A unica ressalva e o desenquadramento orcamentario frente ao teto estipulado.</t>
  </si>
  <si>
    <t>Violacao ao Art. 18 da Lei 14.133/21. Constata-se notoria defasagem na pesquisa de precos do certame. O valor maximo de 117.05 reais e manifestamente inexequivel para a aquisicao de um agogo de castanhas legitimo, cujo custo balizado na fonte fornecida e de 223.90 reais. A manutencao deste teto forcaria o fornecimento de itens de qualidade inferior ou o fracasso do item (deserto). Requer-se a adequacao da planilha de custos a realidade do mercado.</t>
  </si>
  <si>
    <t>ATABAQUE: PARA PERCUSSÃO. AFINAÇÃO EM TARRAXA COM PARAFUSOS. TAMANHO APROX DE 45 CM. ATABAQUE DE AFINAÇÃO COM PARAFUSO CASCO EM MADEIRA DE LEI OU SIMILAR</t>
  </si>
  <si>
    <t>LAL3017</t>
  </si>
  <si>
    <t>O catalogo possui atabaques genuinos na mesma categoria (ex: GOPE LAL3017), porem com ressalvas estruturais e dimensionais criticas. O modelo da fonte possui afinacao tradicional por cordas e cunhas (e nao por tarraxas/parafusos) e apresenta altura de 80 cm, sendo significativamente maior que a especificacao de 45 cm solicitada. Ele atende ao material exigido (corpo conico em madeira macica), porem o seu valor balizado de 881.75 reais ultrapassa consideravelmente o teto orcamentario de 531.59 reais.</t>
  </si>
  <si>
    <t>Violacao ao Art. 18 e Art. 41, I da Lei 14.133/21. Constata-se grave defasagem no valor de referencia (531.59 reais), sendo este inexequivel para a aquisicao de um atabaque de madeira macica no mercado balizado. Alem disso, a especificacao de um atabaque de apenas 45 cm com afinacao por tarraxas descreve um instrumento atipico ou descaracterizado (frequentemente confundido com rebolos ou pequenas timbas), restringindo a competitividade ao afastar fabricantes de atabaques tradicionais. Requer-se a adequacao do orcamento e a revisao das dimensoes exigidas para ampliar o certame.</t>
  </si>
  <si>
    <t>BERIMBAU: FABRICADO EM MADEIRA DE BIRIBA TRATADA. ACABAMENTO NA CABAÇA, AMARRADA COM RAMI, VERGA DE ALTA QUALIDADE. MEDINDO APROX 160 CM DE ALTURA; ACOMPANHA CAXIXI E BAQUETA.</t>
  </si>
  <si>
    <t>O modelo GOPE LAL3021 atende integralmente aos requisitos criticos do edital. Trata-se de um berimbau profissional fabricado com verga de biriba legitima e cabaca natural. O instrumento e fornecido em kit completo, acompanhando os acessorios exigidos: caxixi, baqueta e arame de aco temperado. A dimensao de aproximadamente 160 cm e compativel com o tamanho padrao de berimbaus profissionais no mercado. O valor balizado na fonte (92.59) encontra-se perfeitamente enquadrado no teto orcamentario de 165.35 reais.</t>
  </si>
  <si>
    <t>Resina Resina Aspecto Físico: Rígida, Cor: Marrom Escuro, Características Adicionais: Textura De Liga Densa, Aplicação: Instrumentos De Arco</t>
  </si>
  <si>
    <t>PEÇAS E ACESSÓRIOS INSTRUMENTO MUSICAL TIPO: BREU APLICAÇÃO: VIOLINO VIOLA E CELLO CARACTERÍSTICAS ADICIONAIS: TIPO PEDRA DE COLOFÔNIA.</t>
  </si>
  <si>
    <t>Embalagem</t>
  </si>
  <si>
    <t>Alan</t>
  </si>
  <si>
    <t>BREU-STD</t>
  </si>
  <si>
    <t>O modelo Alan BREU-STD atende integralmente aos requisitos criticos do edital. Trata-se de breu (resina/colofonia) em formato de bloco solido (pedra), com formulacao adequada para aplicacao em arcos de violino, viola e violoncelo (cello). O valor balizado na fonte atende confortavelmente ao teto orcamentario estipulado.</t>
  </si>
  <si>
    <t>Caixa acústica Caixa Acústica Tipo: Amplificada, Potência: 300WRMS, Tamanho Alto-Falante: 8POL, Largura: 280MM, Altura: 43,5CM, Profundidade: 230MM, Voltagem: 110/220V, Aplicação: Propagação Som</t>
  </si>
  <si>
    <t>CAIXA AMPLIFICADORA (ATIVA): CONECTIVIDADE VIA BLUETOOTH, PENDRIVE, POTÊNCIA MÍNIMA DE 1500WATTS, SOBWOOFER DE 15' TIPO DE ALTO- FALANTE WOOFER, 120V, ALIMENTAÇÃO POR FIO, CONEXÕES XLR DE ENTRADA E SAÍDA.</t>
  </si>
  <si>
    <t>K-915</t>
  </si>
  <si>
    <t>O modelo KSR K-915 atende funcionalmente aos requisitos criticos da solicitacao: e uma caixa ativa com woofer de 15 polegadas, possui conectividade Bluetooth e entrada USB para pendrive, opera com alimentacao bivolt (100-240V) e dispoe das exigidas conexoes XLR de entrada e saida. A ressalva tecnica recai exclusivamente sobre a potencia: o modelo entrega 700W RMS (900W de pico), diferindo dos 1500W exigidos. Contudo, e a opcao de maior performance disponivel no catalogo dentro do teto orcamentario, garantindo excelente pressao sonora (127 dB) para a finalidade pretendida.</t>
  </si>
  <si>
    <t>Violacao ao Art. 18 da Lei 14.133/21. Constata-se grave defasagem na pesquisa de precos e imprecisao no descritivo. A exigencia de 'potencia minima de 1500watts' sem definir se e RMS ou PMPO/Musical fere a objetividade. Alem disso, a especificacao de 1500W RMS reais, atrelada a conexoes profissionais (XLR), e mercadologicamente incompativel com o valor de referencia de 1700.61 reais. A manutencao deste cenario frustra a competitividade ou induz a propostas inexequiveis. Requer-se a adequacao da potencia para um patamar realista em Watts RMS compativel com o teto estabelecido.</t>
  </si>
  <si>
    <t>Peças e acessórios instrumento musical Peças E Acessórios Instrumento Musical Tipo: Corda, Aplicação: Violão</t>
  </si>
  <si>
    <t>ACESSÓRIO DE INSTRUMENTO MUSICAL TIPO: KIT CORDAS PARA VIOLÃO MATERIAL: ENCORDAMENTO DE NYLON 0.28 / 0.41, APLICÁVEL PARA VIOLÃO, COM BOLINHAS INFORMANDO AS CORES DE CADA CORDA. QUANTIDADE: EMBALAGEM CONTENDO 6 CORDAS (MI, SI, SOL, RÉ, LÁ, MI).</t>
  </si>
  <si>
    <t>A103-H</t>
  </si>
  <si>
    <t>O modelo Thomaz A103-H atende aos requisitos criticos do edital como equivalente funcional. Trata-se de um encordoamento de nylon para violao de 6 cordas de tensao alta, cujos calibres (0.0285 a 0.044) atendem perfeitamente a especificacao exigida de 0.28 a 0.41. A ressalva recai sobre a exigencia acessoria de 'bolinhas informando as cores de cada corda', uma vez que o catalogo nao detalha a presenca de terminacoes em bolinhas coloridas (ball ends), caracteristica atipica em cordas de nylon tradicionais que costumam ter terminacao lisa (de amarrar). O valor balizado na fonte (17.98) enquadra-se no teto de 21.65.</t>
  </si>
  <si>
    <t>Violacao ao Art. 18 da Lei 14.133/21. A exigencia de 'bolinhas informando as cores de cada corda' configura um detalhe estetico e didatico acessorio, comumente associado a linhas especificas para iniciantes, que nao interfere na qualidade ou funcionalidade do objeto e restringe indevidamente a competitividade do certame. Requer-se a exclusao desta exigencia, permitindo a oferta de encordoamentos de nylon padrao de mercado.</t>
  </si>
  <si>
    <t>Peças e acessórios instrumento musical Peças E Acessórios Instrumento Musical Tipo: Corda, Aplicação: Violino</t>
  </si>
  <si>
    <t>ACESSÓRIO DE INSTRUMENTO MUSICAL TIPO: KIT CORDAS PARA VIOLINO MATERIAL: ENCORDAMENTO FABRICADO EM AÇO 0.25 / 0.86, APLICÁVEL PARA VIOLINO 4/4. QIANTIDADE: EMBALAGEM COM 4 CORDAS (Mi, La, Re, Sol).</t>
  </si>
  <si>
    <t>VIOLINO TENSAO MEDIA</t>
  </si>
  <si>
    <t>O modelo SMART VIOLINO TENSAO MEDIA atende integralmente aos requisitos criticos do edital. Trata-se de um jogo completo contendo as 4 cordas exigidas (Mi, La, Re, Sol - correspondentes a E, A, D, G), projetado especificamente para violinos tamanho 4/4. A construcao em nucleo de aco atende a especificacao de material, e as medidas solicitadas encontram equivalencia funcional na tensao media do produto. O valor balizado na fonte (9.90) enquadra-se com folga no teto orcamentario de 23.31 reais.</t>
  </si>
  <si>
    <t>Peças e acessórios instrumento musical Peças E Acessórios Instrumento Musical Tipo: Corda, Aplicação: Viola</t>
  </si>
  <si>
    <t>ACESSÓRIO DE INSTRUMENTO MUSICAL TIPO: KIT CORDAS PARA VIOLA MATERIAL: ENCORDAMENTO FABRICADO EM AÇO 010. 012. 008. 010. 012 / 010. 012. 019. 022. 030, APLICÁVEL PARA VIOLA 4/4. QUANTIDADE: EMBALAGEM COM 10 CORDAS.</t>
  </si>
  <si>
    <t>Apos busca nas fontes fornecidas, constata-se que o catalogo nao possui encordoamentos para viola caipira (10 cordas) com os calibres em aco solicitados. O unico encordoamento para viola disponivel no catalogo (Alan 68004) destina-se a viola de arco, possuindo apenas 4 cordas com afinacao C, G, D, A, o que nao atende a finalidade e as especificacoes tecnicas de um instrumento de 10 cordas.</t>
  </si>
  <si>
    <t>Violacao ao Art. 18 da Lei 14.133/21. O edital apresenta um descritivo contraditorio ao solicitar um 'kit cordas para viola' de '10 cordas' com calibres tipicos de viola caipira, mas adicionando a especificacao '4/4', que e uma medida exclusiva de violas de arco (instrumentos de 4 cordas). Essa contradicao fere a clareza e objetividade do termo de referencia, confundindo licitantes. Ademais, como o catalogo nao possui o item correspondente a viola caipira, o mesmo resta inviabilizado para cotacao nestas fontes.</t>
  </si>
  <si>
    <t>Peças e acessórios instrumento musical Peças E Acessórios Instrumento Musical Tipo: Corda, Aplicação: Violoncelo .</t>
  </si>
  <si>
    <t>ACESSÓRIO DE INSTRUMENTO MUSICAL TIPO: KIT CORDAS PARA VIOLONCELO MATERIAL: ENCORDAMENTO FABRICADO EM MATERIAL SINTÉTICO E METAL APLICÁVEL PARA VIOLONCELO. QUANTIDADE: EMBALAGEM COM 04 CORDAS (DO, RE, LA SOL).</t>
  </si>
  <si>
    <t>68000</t>
  </si>
  <si>
    <t>O modelo Alan 68000 atende a finalidade do edital como equivalente funcional. Trata-se de um jogo completo com as 4 cordas exigidas (Do, Sol, Re, La) para violoncelo 4/4. A ressalva tecnica recai sobre a composicao do material: a solicitacao exige material sintetico e metal, enquanto o produto do catalogo possui nucleo inteiramente em aco solido com enrolamento em niquel prateado (100% metal). Apesar da divergencia no material do nucleo, as cordas de aco sao o padrao consolidado para estudantes e uso geral, oferecendo maior durabilidade e estabilidade de afinacao, cumprindo integralmente a funcao do objeto. O valor balizado na fonte (43.25) enquadra-se perfeitamente no teto orcamentario de 59.19 reais.</t>
  </si>
  <si>
    <t>ACESSÓRIO DE INSTRUMENTO MUSICAL TIPO: ESTANTE DE PARTITURA: MATERIAL: EM AÇO, COM AJUSTE DE ALTURA, INCLUNAÇÃO, PEDESTAL RETRÁTIL, MEDINDO APROX. 140CM DE ALTURA, COM SUPORTE DE PARTIRURA MEDINDO APROX. 49 x 35 CM.</t>
  </si>
  <si>
    <t>G-5041</t>
  </si>
  <si>
    <t>O modelo SATY G-5041 atende de forma funcional e dimensional aos requisitos criticos do edital. Trata-se de uma estante fabricada em aco carbono, com ajuste de altura que atinge 145 cm (atendendo a exigencia de 'aprox. 140 cm') e suporte (mesa) medindo 48 x 35 cm (equivalente funcional aos 49 x 35 cm solicitados). A ressalva recai exclusivamente sobre a grave divergencia entre o valor real do produto exigido e o teto orcamentario estimado no certame.</t>
  </si>
  <si>
    <t>Violacao ao Art. 18 da Lei 14.133/21. O valor de referencia estipulado (58.21 reais) e manifestamente inexequivel para o padrao de estante exigido. A especificacao de uma mesa de 49x35cm atrelada a uma altura de 140cm caracteriza uma estante robusta de orquestra com chapa de aco (solida ou perfurada), cujo valor balizado no mercado e de 107.30 reais. Valores na faixa de 58 reais contemplam apenas estantes dobraveis simples de hastes finas com dimensoes consideravelmente menores (ex: 40x23cm). Requer-se a readequacao do teto orcamentario a realidade de mercado ou a alteracao do descritivo dimensional para admitir modelos portateis.</t>
  </si>
  <si>
    <t>Instrumento musical - corda Instrumento Musical - Corda Componentes: Estojo, Arco E Breu, Tipo: Violino</t>
  </si>
  <si>
    <t>ACESSÓRIO DE INSTRUMENTO MUSICAL TIPO: ESPALEIRA MATERIAL: FABRICADO EM MATERIAL ABS C/ ESPUMA, AJUSTÁVEL, PARA VIOLINO ¾</t>
  </si>
  <si>
    <t>SCARLETT</t>
  </si>
  <si>
    <t>SPL 44 - BK</t>
  </si>
  <si>
    <t>O modelo SCARLETT SPL 44 - BK atende integralmente aos requisitos criticos do edital. Trata-se de uma espaleira (suporte de ombro) ajustavel, compativel com violinos tamanho 3/4 (e tambem 4/4), construida com chassi em plastico ABS de alta resistencia e equipada com almofada de espuma para conforto. O valor balizado na fonte (30.44) encontra-se perfeitamente enquadrado no teto orcamentario de 60.57 reais.</t>
  </si>
  <si>
    <t>ACESSÓRIO DE INSTRUMENTO MUSICAL TIPO: ESPALEIRA MATERIAL: ABS C/ ESPUMA, AJUSTÁVEL, PARA VIOLINO 4/4</t>
  </si>
  <si>
    <t>O modelo SCARLETT SPL 44 - BK atende integralmente aos requisitos criticos do edital. Trata-se de uma espaleira (suporte de ombro) ajustavel, compativel com violinos tamanho 4/4, construida com chassi em plastico ABS de alta resistencia e equipada com almofada de espuma para conforto. O valor balizado na fonte (30.44) encontra-se perfeitamente enquadrado no teto orcamentario de 60.57 reais.</t>
  </si>
  <si>
    <t>ACESSÓRIO DE INSTRUMENTO MUSICAL TIPO: ESPALEIRA MATERIAL: ABS C/ ESPUMA, AJUSTÁVEL, PARA VIOLA DE ARCO TAMANHO DE 39 A 40</t>
  </si>
  <si>
    <t>Apos busca nas fontes fornecidas, constata-se que o catalogo nao possui nenhuma espaleira projetada para viola de arco nos tamanhos 39 a 40 (equivalente a 15.5 ou 16 polegadas). Os modelos de espaleira disponiveis no catalogo (como Scarlett SPL 44, SSR 44, SMART SVN-01 e da marca Benson) sao fabricados exclusivamente para violinos 3/4 e 4/4. Devido a largura significativamente maior do corpo de uma viola de 39 a 40 cm em comparacao a um violino 4/4, os suportes de violino nao possuem abertura ajustavel suficiente para encaixe seguro e funcional no instrumento solicitado, inviabilizando qualquer equivalencia tecnica.</t>
  </si>
  <si>
    <t>Justifica-se o status NAO ATENDE pela absoluta indisponibilidade de item da mesma categoria e com compatibilidade dimensional basica no catalogo de fontes fornecido para suprir a necessidade especifica do instrumento (viola de arco 39 a 40 cm).</t>
  </si>
  <si>
    <t>ESTOJO CASE RETANGULAR PARA VIOLINO 3/4 MATERIAL INTERNO AVELUDADO, REVESTIMENTO EXTERNO EM NYLON RESISTENTE, COM BOLSOS EXTERNOS, FECHAMENTO COM CHAVE, COM HIGRÔMETRO PARA CONTROLAR E MEDIR A TEMPERATURA INTERIOR. MEDINDO APROX. 80 x 25 x 13 CM (AxLxE)</t>
  </si>
  <si>
    <t>ALAN</t>
  </si>
  <si>
    <t>CASE VIOLINO</t>
  </si>
  <si>
    <t>O modelo ALAN CASE VIOLINO atende a finalidade principal de proteger e transportar o instrumento (violino 3/4), possuindo revestimento em nylon 600D, interior em veludo macio e bolso externo. As ressalvas recaem sobre o formato (gota/anatomico em vez de retangular), o fechamento (ziper em vez de chave) e a ausencia de higrometro. Contudo, e a melhor opcao funcional viavel dentro do teto orcamentario estipulado.</t>
  </si>
  <si>
    <t>Violacao ao Art. 18 da Lei 14.133/21. Constata-se notoria defasagem no valor de referencia estipulado (203.00 reais). Estojos retangulares com higrometro embutido e fechadura com chave possuem custo de mercado significativamente superior. A manutencao de todas as exigencias acessorias atreladas a este teto orcamentario induz a propostas inexequiveis ou forca o fornecimento de modelos mais simples (formato gota, sem higrometro) como equivalentes funcionais. Requer-se a readequacao do valor ou a flexibilizacao do descritivo.</t>
  </si>
  <si>
    <t>ESTOJO CASE RETANGULAR PARA VIOLINO 4/4 MATERIAL INTERNO AVELUDADO, REVESTIMENTO EXTERNO EM NYLON RESISTENTE, COM BOLSOS EXTERNOS, FECHAMENTO COM CHAVE, COM HIGRÔMETRO PARA CONTROLAR E MEDIR A TEMPERATURA INTERIOR. MEDINDO APROX. 78 x 22 x 13 CM.</t>
  </si>
  <si>
    <t>O modelo ALAN CASE VIOLINO atende a finalidade principal de proteger e transportar o instrumento (violino 4/4), possuindo revestimento em nylon 600D, interior em veludo macio e bolso externo. As ressalvas recaem sobre o formato (gota/anatomico em vez de retangular), o fechamento (ziper em vez de chave) e a ausencia de higrometro. O unico modelo com higrometro disponivel no catalogo (Scarlett SCS 600) custa 470.16 reais, ultrapassando o orcamento. Contudo, o modelo da ALAN e a melhor opcao funcional viavel dentro do teto orcamentario estipulado.</t>
  </si>
  <si>
    <t>Violacao ao Art. 18 da Lei 14.133/21. Constata-se notoria defasagem no valor de referencia estipulado (312.98 reais). Estojos retangulares com higrometro embutido e fechadura com chave possuem custo de mercado significativamente superior (modelos com higrometro na fonte chegam a 470.16 reais). A manutencao de todas as exigencias acessorias atreladas a este teto orcamentario induz a propostas inexequiveis ou forca o fornecimento de modelos mais simples (formato gota, sem higrometro) como equivalentes funcionais. Requer-se a readequacao do valor ou a flexibilizacao do descritivo.</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</si>
  <si>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</si>
  <si>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CASE VIOLA</t>
  </si>
  <si>
    <t>O modelo ALAN CASE VIOLA atende a finalidade principal do edital, que e o armazenamento e transporte de uma viola de arco. Os tamanhos 3/4 e 4/4 disponiveis enquadram-se na especificacao de ate 42 cm solicitada. O estojo possui interior aveludado, compartimento para acessorios e espaco para dois arcos, conforme exigido. As ressalvas recaem sobre detalhes construtivos e acessorios: o formato do produto na fonte e gota/anatomico (e nao retangular), o fechamento e por ziper (em vez de fechadura em metal com chave), o revestimento externo e em nylon 600D (material de resistencia equivalente ao Oxford exigido) e ha ausencia de higrometro. Contudo, o produto cumpre integralmente a funcao de proteger e transportar o instrumento, sendo a opcao funcional adequada disponivel no catalogo e com preco bem inferior ao teto orcamentario de 495.94 reais.</t>
  </si>
  <si>
    <t>Violacao ao Art. 18 da Lei 14.133/21. O edital aglutina especificacoes excessivamente restritivas e acessorias (formato retangular estrito, fechadura de metal com chave, tecido Oxford exclusivo e higrometro) que nao interferem na funcionalidade basica e protetiva do objeto. A manutencao dessas exigencias direciona o certame e impede a aceitacao de modelos funcionais equivalentes (como estojos anatomicos em EPS com ziper, comuns no mercado), frustrando a competitividade e a busca pela proposta mais vantajosa. Requer-se a flexibilizacao do descritivo para admitir estojos equivalentes.</t>
  </si>
  <si>
    <t>Instrumento musical - sopro Instrumento Musical - Sopro Tipo: Flauta Doce, Acabamento Superficial: Resina, Características Adicionais: Germânica</t>
  </si>
  <si>
    <t>FLAUTA DOCE TIPO: SOPRANO SISTEMA: GERMÂNICO MATERIAL: FEITA EM RESINA ACABAMENTO SUPERFICIAL.</t>
  </si>
  <si>
    <t>NUCLEO MUSICAL</t>
  </si>
  <si>
    <t>CKFL 1 - BK</t>
  </si>
  <si>
    <t>O modelo NUCLEO MUSICAL CKFL 1 - BK atende integralmente aos requisitos criticos do edital. Trata-se de uma flauta doce soprano com sistema de digitacao germanica, construida em resina ABS de alta durabilidade, contemplando perfeitamente o descritivo de material e acabamento superficial solicitado. O valor balizado na fonte (13.90) enquadra-se no teto orcamentario de 27.54 reais.</t>
  </si>
  <si>
    <t>FLAUTA DOCE TIPO: CONTRALTO SISTEMA: GERMÂNICO MATERIAL: FEITA EM RESINA ACABAMENTO SUPERFICIAL.</t>
  </si>
  <si>
    <t>Apos busca nas fontes fornecidas, constata-se que o catalogo nao possui nenhuma flauta doce do tipo Contralto. Os unicos modelos de flauta doce disponiveis no catalogo (ex: NY FL 20G e Nucleo Musical CKFL 1) sao do tipo Soprano (afinacao em Do). Como a afinacao e a tessitura sao requisitos criticos que definem a aplicacao musical do instrumento, uma flauta Soprano nao possui equivalencia funcional com uma flauta Contralto (afinacao em Fa), inviabilizando o atendimento.</t>
  </si>
  <si>
    <t>Justifica-se o status NAO ATENDE pela absoluta indisponibilidade de item com a mesma finalidade acustica e tessitura (flauta contralto) no catalogo de fontes fornecido para suprir a necessidade especifica do termo de referencia.</t>
  </si>
  <si>
    <t>FLAUTA DOCE TIPO: TENOR SISTEMA: GERMÂNICO MATERIAL: FEITA EM RESINA ACABAMENTO SUPERFICIAL.</t>
  </si>
  <si>
    <t>Apos busca nas fontes fornecidas, constata-se que o catalogo nao possui nenhuma flauta doce do tipo Tenor. Os unicos modelos de flauta doce disponiveis no catalogo (ex: NY FL 20G e Nucleo Musical CKFL 1) sao do tipo Soprano. Como a afinacao e a tessitura sao requisitos criticos que definem a aplicacao musical do instrumento, uma flauta Soprano nao possui equivalencia funcional com uma flauta Tenor, inviabilizando o atendimento.</t>
  </si>
  <si>
    <t>Justifica-se o status NAO ATENDE pela absoluta indisponibilidade de item com a mesma finalidade acustica e tessitura (flauta tenor) no catalogo de fontes fornecido para suprir a necessidade especifica do termo de referencia.</t>
  </si>
  <si>
    <t>Instrumento musical - sopro Instrumento Musical - Sopro Tipo: Flauta Doce, Acabamento Superficial: Resina, Características Adicionais: Barroca</t>
  </si>
  <si>
    <t>FLAUTA DOCE TIPO: SOPRANO SISTEMA: BARROCO MATERIAL FEITA EM RESINA ACABAMENTO SUPERFICIAL</t>
  </si>
  <si>
    <t>FL 20B</t>
  </si>
  <si>
    <t>O modelo NY FL 20B atende integralmente aos requisitos criticos do edital. Trata-se de uma flauta doce soprano com sistema de digitacao barroca, construida em resina ABS de alta durabilidade, contemplando perfeitamente o descritivo de material solicitado. O valor balizado na fonte (15.01) enquadra-se com folga no teto orcamentario de 29.31 reais.</t>
  </si>
  <si>
    <t>Mesa áudio Mesa Áudio / Vídeo - Switcher De Vídeo Quantidade Canais: 18UN, Tipo Entrada: Conectores Xlr E P10, Equalização: 3 Bandas Com 1 Semi Parametrico, Controle Ganho: 10 A 60DB, Tensão Alimentação: 100/240V, Características Adicionais: 3 Saídas Auxiliares Por Canal, Processador 24 Bits</t>
  </si>
  <si>
    <t>MESA DE SOM: 18 CANAIS (XR 18 WIFI) MESA DE SOM DIGITAL MODELO RACK COM 18 CANAIS. MODELO DE REFERÊNCIA: IGUAL OU SUPERIOR XR18 X18 M18.</t>
  </si>
  <si>
    <t>XR18 X18 M18</t>
  </si>
  <si>
    <t>Behringer</t>
  </si>
  <si>
    <t>X AIR - XR18</t>
  </si>
  <si>
    <t>O modelo Behringer X AIR - XR18 atende integralmente aos requisitos tecnicos e funcionais do edital, entregando os 18 canais, controle remoto via Wi-Fi integrado e formato rack exigidos, sendo o exato modelo citado como referencia. A unica ressalva existente e o grave desenquadramento orcamentario, pois o valor do equipamento balizado no catalogo (4011.79 reais) ultrapassa de forma significativa o teto estipulado de 3355.47 reais.</t>
  </si>
  <si>
    <t>Violacao ao Art. 18 da Lei 14.133/21. O orcamento estimado pela Administracao (3355.47 reais) encontra-se defasado em relacao ao valor real do equipamento nominalmente referenciado (4011.79 reais). A fixacao de precos manifestamente inexequiveis frustra o carater competitivo da licitacao, podendo induzir ao fracasso do item (deserto). Requer-se a revisao e adequacao da pesquisa de precos a realidade do mercado.</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</si>
  <si>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</si>
  <si>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</si>
  <si>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SOUNDVOICE</t>
  </si>
  <si>
    <t>MS-12.7 PLATINA</t>
  </si>
  <si>
    <t>O modelo SOUNDVOICE MS-12.7 PLATINA atende funcionalmente ao edital, oferecendo 12 canais, equalizacao de 3 vias, processador DSP digital e os exigidos subgrupos G1/G2. A ressalva principal recai sobre a classificacao 'TIPO: DIGITAL' do termo de referencia, visto que os recursos detalhados (inserts fisicos por canal, equalizadores graficos dedicados e subgrupos G1/G2) sao nativos de mesas analogicas com efeitos digitais (DSP), categoria na qual o modelo sugerido se enquadra. O equipamento supera a exigencia de auxiliares (oferecendo 7 em vez de 2) e o seu valor balizado na fonte (1499.00) ultrapassa ligeiramente o teto estipulado de 1487.35 reais.</t>
  </si>
  <si>
    <t>Violacao ao Art. 18 da Lei 14.133/21. O descritivo do edital e contraditorio ao exigir uma mesa de 'TIPO: DIGITAL' e, simultaneamente, listar atributos de arquitetura estritamente analogica para esta faixa de preco (como insert fisico por canal e subgrupos G1/G2). Mesas verdadeiramente digitais processam insercoes e equalizacoes internamente por software e possuem valor de mercado consideravelmente superior ao teto de 1487.35 reais. A manutencao deste descritivo confuso restringe a competitividade e induz a erros nas propostas. Requer-se a adequacao do termo para 'Mesa de som analogica com processador digital de efeitos (DSP)' ou a readequacao do orcamento para a aquisicao de um console 100% digital.</t>
  </si>
  <si>
    <t>Kit MICRO AFINADOR TIPO: PARA VIOLINO MODELO: AFINADOR PARA VIOLINO 3/4 E 4/4, COM 4 PEÇAS. MATERIAL: EM METAL; ACABAMENTO CROMADO.</t>
  </si>
  <si>
    <t>SVN-03</t>
  </si>
  <si>
    <t>O modelo SMART SVN-03 atende integralmente as especificacoes tecnicas do edital. Trata-se de um kit com 4 microafinadores para violino 3/4 e 4/4, fabricados em metal (cobre) com acabamento prateado (equivalente funcional e estetico ao cromado exigido). A unica ressalva recai sobre o teto orcamentario, uma vez que o valor balizado no catalogo (21.90 reais) e superior ao estimado no termo de referencia (18.65 reais).</t>
  </si>
  <si>
    <t>Violacao ao Art. 18 da Lei 14.133/21. Constata-se defasagem no valor de referencia estipulado (18.65 reais) frente a realidade do mercado para um kit de 4 microafinadores em metal. A manutencao de precos inexequiveis restringe a competitividade e pode resultar em licitacao deserta ou fracassada para o item. Requer-se a revisao e adequacao do teto orcamentario.</t>
  </si>
  <si>
    <t>Kit MICRO AFINADOR TIPO: PARA VIOLA DE ARCO MODELO: AFINADOR PARA VILA DE ARCO, COM 4 PEÇAS. MATERIAL: EM METAL; ACABAMENTO CROMADO.</t>
  </si>
  <si>
    <t>O modelo SMART SVN-03 atende de forma funcional aos requisitos do edital. Trata-se de um kit com 4 microafinadores em metal com acabamento prateado (esteticamente e funcionalmente equivalente ao cromado). A primeira ressalva recai sobre a especificacao de uso: o catalogo indica compatibilidade exclusiva para violinos 3/4 e 4/4. Embora microafinadores de violino 4/4 sejam frequentemente adaptados em violas de arco devido a similaridade dos encaixes no estandarte, trata-se de uma equivalencia funcional e nao do item exato designado para viola. A segunda ressalva e o desenquadramento orcamentario, pois o valor balizado na fonte (21.90 reais) e superior ao estimado no termo de referencia (18.65 reais).</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</si>
  <si>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</si>
  <si>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MICROFONE TIPO: DE MÃO MATERIAL: METÁLICO COR: PRETA CARACTERÍSTICAS: DISPOSITIVOS COMPATÍVEIS: XLR. CONECTOR/ES DE SAÍDA: XLR.; FREQUÊNCIA MÁXIMA: 15HZ.; FREQUÊNCIA MÍNIMA: 50HZ.;CABO 7MT.</t>
  </si>
  <si>
    <t>CUSTOM SOUND</t>
  </si>
  <si>
    <t>CSMS 58-BK</t>
  </si>
  <si>
    <t>O modelo CUSTOM SOUND CSMS 58-BK atende perfeitamente aos requisitos criticos do edital: e um microfone de mao dinamico, corpo metalico na cor preta, conexao XLR e resposta de frequencia de 50Hz a 15kHz (corrigindo o erro material do termo de referencia que solicitava 15HZ). A unica ressalva recai sobre o cabo incluso, que possui 5 metros de comprimento, divergindo da exigencia de 7 metros. Essa divergencia e puramente acessoria, visto que cabos de 5 metros sao o padrao de mercado para microfones que ja acompanham cabo de fabrica, nao prejudicando a equivalencia funcional do objeto.</t>
  </si>
  <si>
    <t>Violacao ao Art. 18 da Lei 14.133/21. O edital apresenta um evidente erro material ao exigir 'frequencia maxima: 15HZ', quando o correto em acustica e 15kHz. Alem disso, a exigencia especifica e restritiva de um cabo de exatos 7 metros atrelado a embalagem do microfone limita a competitividade, visto que a grande maioria das marcas envia cabos de 3 a 5 metros de fabrica. Requer-se a correcao do erro de digitacao da frequencia e a flexibilizacao do comprimento do cabo para admitir o padrao de 5 metros.</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</si>
  <si>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</si>
  <si>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MICROFONE PARA INSTRUMENTO DE CORDA APLICAÇÃO: VIOLA, VIOLONCELO E VIOLA, E CONTRABAIXO. CARACTERÍSTICAS: CABO XLR SISITEMA DE LAPELA CABO DE 7MT</t>
  </si>
  <si>
    <t>CS1L</t>
  </si>
  <si>
    <t>O modelo CUSTOM SOUND CS1L atende a finalidade funcional do edital como microfone de lapela, sendo frequentemente adaptado e clipado em instrumentos de corda (viola, violoncelo e contrabaixo) para captacao acustica de baixo custo. As ressalvas tecnicas recaem sobre a conexao e o comprimento do cabo: o produto do catalogo possui conector P2 com adaptador P10 (em vez de XLR) e cabo de 6 metros (em vez de 7 metros). Por possuir modulo de alimentacao proprio a bateria (LR44), a conexao P2/P10 cumpre plenamente a funcao de transmissao do sinal para mesas e caixas. Esta e a melhor equivalencia funcional viavel disponivel nas fontes para a faixa orcamentaria solicitada.</t>
  </si>
  <si>
    <t>Violacao ao Art. 18 da Lei 14.133/21. A exigencia de um cabo com exatos 7 metros e conector XLR nativo atrelada a um sistema de lapela dentro deste teto de valor configura restritividade excessiva, pois a padronizacao de mercado para este tipo de equipamento foca em cabos de 6 metros e conectores P2/P10. Requer-se a flexibilizacao das medidas e a aceitacao de conectores equivalentes funcionais para garantir a ampla competitividade do certame.</t>
  </si>
  <si>
    <t>Peças e acessórios instrumento musical Peças E Acessórios Instrumento Musical Tipo: Palheta, Aplicação: Violão E Guitarra, Características Adicionais 1: Espessura Cerca De 1mm</t>
  </si>
  <si>
    <t>SUPORTE MICROFONE MATERIAL: ALUMÍNIO TIPO: ARTICULADO APLICAÇÃO: AUDIO CARACTERÍSTICAS: SUPORTA ATÉ 2 KG SUGESTÃO COR: PRETO/PRATA</t>
  </si>
  <si>
    <t>SM-081</t>
  </si>
  <si>
    <t>O modelo SMART SM-081 atende a finalidade do edital como equivalente funcional. Trata-se de um suporte de microfone em formato de braco articulado tipo broadcast para montagem em mesa. As ressalvas recaem sobre o material (construido em aco resistente em vez de aluminio, o que e funcionalmente equivalente ou superior em durabilidade) e a omissao da capacidade de carga exata de 2 kg no catalogo, porem trata-se de um padrao de mercado para broadcast projetado para suportar microfones pesados de estudio sem problemas. A cor preta atende a sugestao acessoria do edital e o preco balizado na fonte (42.90 reais) enquadra-se com folga no teto orcamentario de 119.66 reais.</t>
  </si>
  <si>
    <t>ACESSÓRIO DE INSTRUMENTO MUSICAL TIPO: PALHETAS PARA VIOLÃO KIT COM 12 UNIDADES. TAMANHO: G DIMENSÕES: 10,16 X 6,35 X 0,64 CM 9,98.</t>
  </si>
  <si>
    <t>Apos busca nas fontes fornecidas, constata-se que o catalogo nao possui kit com 12 palhetas para violao. O unico item referente a palhetas de cordas disponivel e a caixa organizadora CUSTOM SOUND CPB 6 CL, que contem 150 unidades sortidas com valor balizado de 299.90 reais, sendo inviavel o seu fracionamento para atender a quantidade de 12 unidades solicitada. Cabe ressaltar que as dimensoes descritas no edital (10,16 x 6,35 x 0,64 cm) referem-se a embalagem comercial do produto e nao a dimensao fisica de uma palheta tamanho G, evidenciando falha na especificacao.</t>
  </si>
  <si>
    <t>Violacao ao Art. 18 da Lei 14.133/21. O edital apresenta falha tecnica em seu descritivo ao inserir dimensoes de embalagem (medidas em polegadas convertidas para centimetros) como se fossem as medidas do produto, comprometendo a clareza e a definicao objetiva do objeto. A exigencia estrita de embalagem com 12 unidades nestas medidas exatas sugere direcionamento para encartelados de marcas importadas especificas, ferindo o principio da competitividade. Justifica-se a recusa pela absoluta ausencia de item correspondente ou fracionavel no catalogo fornecido para suprir a demanda dentro deste teto orcamentario de 13.59 reais.</t>
  </si>
  <si>
    <t>INSTRUMENTO MUSICAL TIPO: KIT PANDEIRO - COM AFINADOR E PLATINELAS MATERIAL: COM PELE INJETADA DE NYLON. QUANTIDADE: 1 PANDEIRO COM 7 AFINADORES E 6 PARES DE PLATINELAS</t>
  </si>
  <si>
    <t>40035PT/PR</t>
  </si>
  <si>
    <t>O modelo LUEN 40035PT/PR atende aos requisitos criticos do edital como equivalente funcional. O instrumento possui exatamente 7 afinadores (duplos, oferecendo maior precisao) e 6 pares de platinelas, correspondendo a configuracao estrutural exigida (tipica de pandeiros de 11 polegadas). A ressalva tecnica recai apenas sobre o termo da pele: o edital exige pele injetada de nylon, enquanto o modelo do catalogo apresenta pele sintetica holografica. Na industria percussiva atual, as peles sinteticas (filmes polimericos de poliester/nylon) sao funcionalmente equivalentes, garantindo a mesma durabilidade e aplicacao sonora para o objeto. O valor balizado no catalogo (187.84 reais) cumpre perfeitamente o teto orcamentario estipulado de 193.78 reais.</t>
  </si>
  <si>
    <t>INSTRUMENTO MUSICAL TIPO: RECO-RECO COM BAQUETA MATERIAL: BAMBU</t>
  </si>
  <si>
    <t>PI RRS</t>
  </si>
  <si>
    <t>O modelo LIVERPOOL PI RRS atende funcionalmente ao edital. Trata-se de um reco-reco tradicional acompanhado de baqueta (vareta) para raspagem. A unica ressalva recai sobre o material de construcao: o produto ofertado e fabricado em madeira macica, enquanto o edital solicita bambu. Na luteria de percussao, a madeira e o equivalente funcional direto e frequentemente superior ao bambu em durabilidade, entregando o exato timbre organico e amadeirado exigido para a aplicacao musical do objeto. O valor balizado no catalogo (27.83 reais) enquadra-se com folga no teto orcamentario de 87.03 reais.</t>
  </si>
  <si>
    <t>Violacao ao Art. 18 da Lei 14.133/21. A exigencia estrita do material bambu, caso interpretada de forma a excluir a madeira macica (material padrao de mercado e equivalente ou superior funcionalmente para este tipo de instrumento), configura restricao injustificada a competitividade. O objeto fabricado em madeira atende plenamente a finalidade pretendida e deve ser obrigatoriamente aceito como equivalente.</t>
  </si>
  <si>
    <t>Peças e acessórios instrumento musical Peças E Acessórios Instrumento Musical Tipo: Suporte Parede, Aplicação: Violão, Características Adicionais: Sistema Trava Automática, Carga Mínima 5 Kg</t>
  </si>
  <si>
    <t>SUPORTE PARA INSTRUMENTOS MUSICAIS TIPO: VIOLÃO MATERIAL: HASTES EMBORRACHADAS, CARACTERISTICAS: SUPORTE FIXADO POR BUCHA E PARAFUSO</t>
  </si>
  <si>
    <t>CSV 01-BK</t>
  </si>
  <si>
    <t>O modelo CUSTOM SOUND CSV 01-BK atende integralmente aos requisitos criticos do edital. Trata-se de um suporte de parede fixo para violoes, guitarras e baixos. O produto possui hastes revestidas com espuma de borracha, contemplando a exigencia de hastes emborrachadas para protecao do instrumento, alem de sistema de fixacao projetado para 2 parafusos. O valor balizado na fonte (10.12 reais) encontra-se perfeitamente enquadrado no teto orcamentario de 17.46 reais.</t>
  </si>
  <si>
    <t>Peças e acessórios instrumento musical Peças E Acessórios Instrumento Musical Tipo: Tarraxa, Aplicação: Violão, Características Adicionais 1: Pino Grosso, Tradicional Cromada</t>
  </si>
  <si>
    <t>ACESSÓRIO DE INSTRUMENTO MUSICAL TIPO: TARRAXAS PARA VIOLÃO QUANTIDADE: JOGO COM 6 UN. MATERIAL: AÇO, PINO FINO CROMADO 3+3, E PARAFUSOS DE FIXAÇÃO.</t>
  </si>
  <si>
    <t>CMH 832 - NI</t>
  </si>
  <si>
    <t>O modelo CUSTOM SOUND CMH 832 - NI atende aos requisitos funcionais do edital, consistindo em um jogo de 6 tarraxas (3+3) com eixo de metal (pino fino) projetado para violoes de aco. A unica ressalva tecnica recai sobre o acabamento: o modelo disponivel no catalogo e niquelado, enquanto o edital exige cromado. O banho de niquel e o equivalente funcional e estetico direto do cromo na industria de ferragens, oferecendo a mesma protecao anticorrosiva ao aco. E padrao de mercado que estes componentes acompanhem os respectivos parafusos de montagem. O valor balizado na fonte (18.90 reais) cumpre perfeitamente o teto orcamentario estipulado de 45.21 reais.</t>
  </si>
  <si>
    <t>ACESSÓRIO DE INSTRUMENTO MUSICAL TIPO: TARRAXAS PARA VIOLÃO QUANTIDADE: CONJUNTO COM OS DOIS LADOS. MATERIAL: AÇO, PINO GROSSO DOURADA,</t>
  </si>
  <si>
    <t>CMH 830 - GD</t>
  </si>
  <si>
    <t>O modelo CUSTOM SOUND CMH 830 - GD atende aos requisitos funcionais do edital, fornecendo um conjunto completo para os dois lados (3L+3R) com acabamento dourado e pino grosso, ideal para violoes. A unica ressalva tecnica refere-se a descricao estrita do material: enquanto o edital exige 'aco', o modelo do catalogo possui placas de metal, engrenagens de latao e eixos (pinos) em plastico robusto. Na industria musical, eixos de plastico sao o padrao absoluto e o equivalente funcional correto para tarraxas de pino grosso destinadas a cordas de nylon. O valor balizado na fonte (21.90 reais) cumpre perfeitamente o teto orcamentario de 45.21 reais.</t>
  </si>
  <si>
    <t>Peças E Acessórios Instrumento Musical Peças E Acessórios Instrumento Musical Tipo: Teclado, Aplicação: Musical, Características Adicionais: Digital, 61 Teclas</t>
  </si>
  <si>
    <t>INSTRUMENTO MUSICAL TIPO: TECLADO CARACTERISTICAS: 61 TECLAS + VISOR DE LED 350 TIMBRES BEM SELECIONADOS, 350 RITMOS POPULARES.</t>
  </si>
  <si>
    <t>CST 3000X</t>
  </si>
  <si>
    <t>O modelo CUSTOM SOUND CST 3000X atende a finalidade do edital como equivalente funcional superior. Possui 61 teclas (com o adicional de serem sensitivas ao toque), e supera a exigencia de timbres e ritmos, oferecendo 500 de cada (frente aos 350 solicitados). A ressalva recai sobre o painel, que e LCD em vez de LED, sendo uma divergencia puramente acessoria e de equivalencia visual/informativa. O valor balizado na fonte (795.99 reais) enquadra-se perfeitamente no teto orcamentario de 843.61 reais.</t>
  </si>
  <si>
    <t>Violacao ao Art. 18 da Lei 14.133/21. A exigencia estrita de exatamente 350 timbres e 350 ritmos, atrelada a um visor especifico de LED, direciona o certame para modelos de entrada muito pontuais, restringindo a aceitacao de equipamentos equivalentes ou superiores (com maior banco de sons ou tela LCD) dentro do mesmo teto de valor. Requer-se a flexibilizacao do descritivo para aceitar parametros iguais ou superiores, ampliando a competitividade.</t>
  </si>
  <si>
    <t>Viola Viola Material: Madeira, Material Corda: Aço, Características Adicionais: Eletro Acústica, Comprimento Total: 960MM, Comprimento Escala: 580MM, Quantidade Cordas: 10</t>
  </si>
  <si>
    <t>INSTRUMENTO MUSI CAL TIPO:VIOLA DE ARCO TAMANHO: 39 CARACTERISTICAS: COMPLETO COM FUNDO EM ACERO OU ABETO MACIÇO, ACABAMENTO EM VERNIZ BRILHANTE, ACESSÓRIOS EM ÉBANO, ARCO OCTAGONAL DE CRINA ANIMAL.</t>
  </si>
  <si>
    <t>AL 1310 4/4 (67105)</t>
  </si>
  <si>
    <t>O modelo ALAN AL 1310 4/4 atende a finalidade principal do edital como um instrumento de estudo funcional (viola de arco 4/4, com aprox. 16 polegadas/40cm, compativel com a especificacao de tamanho 39 solicitada). As ressalvas recaem sobre os materiais construtivos e acessorios: o modelo do catalogo possui construcao em madeiras laminadas (tampo em Spruce laminado e fundo/laterais em Maple, em vez de macico), acessorios em Boxwood (em vez de ebano) e arco padrao de crina animal (sem especificacao de ser octagonal). O catalogo nao possui violas macicas com ebano dentro desta faixa de preco. Contudo, o modelo sugerido e o equivalente funcional viavel para estudo respeitando o teto orcamentario.</t>
  </si>
  <si>
    <t>Violacao ao Art. 18 da Lei 14.133/21. O valor de referencia de 954.95 reais e manifestamente inexequivel para a aquisicao de uma viola de arco com fundo macico, acessorios em ebano e arco octagonal, visto que tratam-se de especificacoes de instrumentos premium ou de luteria com valor de mercado significativamente superior. A manutencao destas exigencias atreladas a um orcamento de linha de estudante restringe a competitividade e induz a licitacao ao fracasso. Requer-se a readequacao do orcamento ou a flexibilizacao do descritivo para aceitar instrumentos de estudo laminados com acessorios equivalentes (como Boxwood ou Hardwood).</t>
  </si>
  <si>
    <t>INSTRUMENTO MUSICAL TIPO: VIOLÃO ACÚSTICO MATERIAL: CORPO EM SPRUCE, BRAÇO EM CEDRO, TENSOR, TARRACHA DE PINO GROSSO DOURADA, TRASTES EM CROMO NIQUEL, MARCAÇÃO NA LATERAL DA ESCALA, COR NATURAL E ENCORDOAMENTO DE NYLON DE QUALIDADE.</t>
  </si>
  <si>
    <t>CORDOBA</t>
  </si>
  <si>
    <t>CG 100</t>
  </si>
  <si>
    <t>O modelo CORDOBA CG 100 atende a finalidade do edital como equivalente funcional na categoria de violoes acusticos de estudo com cordas de nylon, sendo a unica opcao do catalogo que se enquadra no teto orcamentario estrito de 255.51 reais. As ressalvas recaem sobre os materiais construtivos e acessorios: o instrumento possui corpo em Linden Plywood e braco em Okume (em divergencia com o Spruce e Cedro solicitados), tarraxas de plastico (ao inves de douradas) e nao possui tensor no braco (ausencia comum e aceitavel em violoes de nylon de entrada devido a baixa tensao das cordas). Apesar das diferencas, o produto cumpre integralmente a funcao de instrumento musical de iniciacao.</t>
  </si>
  <si>
    <t>Violacao ao Art. 18 da Lei 14.133/21. O edital aglutina exigencias de madeiras comumente tratadas como nobres (Spruce e Cedro), tarraxas douradas e tensor no braco, caracteristicas intrinsecas a instrumentos de padrao superior, atreladas a um valor de referencia manifestamente inexequivel (255.51 reais). A exigencia de especificacoes mais elevadas em um orcamento de nivel basico incompativel restringe a competitividade e induz a licitacao ao fracasso. Requer-se a flexibilizacao do termo para aceitar instrumentos de estudo em madeiras laminadas equivalentes ou a readequacao do teto orcamentario a realidade de mercado.</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</si>
  <si>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</si>
  <si>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OTTAWA</t>
  </si>
  <si>
    <t>O modelo TAGIMA OTTAWA atende funcionalmente ao edital como um violao eletroacustico de nylon com 19 trastes, tarraxas douradas e acabamento natural. As ressalvas recaem sobre os materiais construtivos e o modelo do pre-amplificador: o instrumento possui corpo em Agathis e braco em Okoume (em vez da combinacao Pau-Ferro e Cedro solicitada), e utiliza o sistema ativo Tagima TEQ-8 (equivalente e superior ao GEQ-4 exigido, visto que adiciona afinador digital embutido). Na luteria de instrumentos de entrada nesta faixa de valor, o Agathis e o Okoume sao as madeiras padrao e equivalentes funcionais diretos, cumprindo plenamente a finalidade musical do objeto. O valor balizado na fonte (529.72 reais) enquadra-se perfeitamente no teto orcamentario de 598.63 reais.</t>
  </si>
  <si>
    <t>Violacao ao Art. 18 da Lei 14.133/21. A exigencia de uma combinacao de madeiras de padrao superior (Pau-Ferro e Cedro) atrelada a nomenclatura exata de um pre-amplificador de entrada (GEQ-4) sugere direcionamento indireto para um encarte de marca especifica, alem de ser incompativel com o baixo teto orcamentario balizado para o item. A aceitacao de instrumentos construidos com madeiras equivalentes padrao de mercado e eletronica equivalente/superior e de rigor para preservar o carater competitivo da licitacao.</t>
  </si>
  <si>
    <t>INSTRUMENTO MUSICAL TIPO: VIOLINO TAMANHO: 3/4 CARACTERISTICA: COMPLETO COM FUNDO EM ACERO OU ABETO MACIÇO, ACABAMENTO EM VERNIZ BRILHANTE, ACESSÓRIOS EM ÉBANO, ARCO OCTAGONAL DE CRINA ANIMAL</t>
  </si>
  <si>
    <t>Benson</t>
  </si>
  <si>
    <t>BVR301 3/4</t>
  </si>
  <si>
    <t>O modelo Benson BVR301 3/4 atende a finalidade principal do edital como um violino de estudo funcional no tamanho 3/4 com acabamento em verniz brilhante e arco de crina, respeitando o teto orcamentario de 404.37 reais. As ressalvas recaem sobre os materiais construtivos e acessorios: o instrumento possui construcao em madeiras laminadas de Spruce e Flamed Linden (em vez de fundo macico), acessorios em Dyed Hardwood (madeira de lei tingida, equivalente funcional ao ebano em instrumentos de entrada) e arco padrao (sem especificacao de vara octagonal). O catalogo nao possui violinos com fundo macico e ebano puro dentro desta faixa de preco restrita. Contudo, o modelo sugerido e o equivalente funcional viavel para a finalidade de estudo musical.</t>
  </si>
  <si>
    <t>Violacao ao Art. 18 da Lei 14.133/21. O valor de referencia de 404.37 reais e manifestamente inexequivel para a aquisicao de um violino com fundo macico, acessorios em ebano legitimo e arco octagonal, visto que tratam-se de especificacoes exclusivas de instrumentos de padrao intermediario/superior com valor de mercado significativamente mais alto. A manutencao destas exigencias atreladas a um orcamento compativel apenas com a linha de estudante basica restringe a competitividade e induz a licitacao ao fracasso (licitacao deserta). Requer-se a readequacao do orcamento a realidade do mercado ou a flexibilizacao do descritivo para aceitar expressamente instrumentos de estudo laminados com acessorios equivalentes em Hardwood.</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</si>
  <si>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</si>
  <si>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BVR301 4/4</t>
  </si>
  <si>
    <t>O modelo Benson BVR301 4/4 atende funcionalmente aos requisitos criticos do edital. Trata-se de um violino tamanho 4/4 construido em madeiras laminadas de Spruce e Flamed Linden (equivalente superior a exigencia generica de madeira compensada), com o exigido acabamento em verniz brilhante, cavalete em madeira (Dyed Hardwood) e encordoamento padrao de aco (metal). A ressalva recai unicamente sobre a omissao das dimensoes e peso exatos no descritivo do catalogo, contudo, as medidas solicitadas (35,5 cm de corpo, 59 cm de comprimento e aprox. 450g) representam o padrao universal absoluto da luteria para violinos de tamanho 4/4, garantindo a perfeita equivalencia fisica e estrutural. O valor balizado na fonte (340.42 reais) cumpre rigorosamente o teto orcamentario estipulado de 384.68 reais.</t>
  </si>
  <si>
    <t>Instrumento musical - corda Instrumento Musical - Corda Componentes: Arco De Madeira E Crina Animal, Bag Luxo E Breu, Tipo: Violoncelo</t>
  </si>
  <si>
    <t>INSTRUMENTO MUSICAL TIPO: VIOLONCELLO TAMANHO: 3/4: COMPLETO COM FUNDO EM ACERO OU ABETO MACIÇO, ACABAMENTO EM VERNIZ BRILHANTE, ACESSÓRIOS EM ÉBANO, ARCO DE CRINA ANIMAL, CAPA ACOLCHOADA.</t>
  </si>
  <si>
    <t>AL 1210 3/4</t>
  </si>
  <si>
    <t>O modelo ALAN AL 1210 3/4 atende a finalidade do edital como equivalente funcional na categoria de violoncelos de estudo tamanho 3/4. O instrumento possui o exigido acabamento em verniz brilhante, acompanha arco de crina animal e capa acolchoada. As ressalvas recaem sobre os materiais construtivos: o modelo do catalogo possui construcao em madeiras laminadas de Spruce e Linden (em divergencia com a exigencia de fundo macico) e acessorios em Maple e Boxwood com escala ebanizada (em vez de ebano legitimo). Esta e a equivalencia funcional viavel para estudo respeitando o teto orcamentario balizado (1458.00 reais), visto que o catalogo nao possui violoncelos macicos neste valor.</t>
  </si>
  <si>
    <t>Violacao ao Art. 18 da Lei 14.133/21. O valor de referencia de 1692.20 reais e manifestamente inexequivel para a aquisicao de um violoncelo com fundo macico e acessorios em ebano legitimo, visto que tratam-se de especificacoes de instrumentos premium ou de luteria com valor de mercado substancialmente superior. A manutencao destas exigencias atreladas a um orcamento de linha de estudante restringe a competitividade e induz a licitacao ao fracasso. Requer-se a readequacao do orcamento a realidade do mercado ou a flexibilizacao do descritivo para aceitar expressamente instrumentos de estudo laminados com acessorios equivalentes ebanizados.</t>
  </si>
  <si>
    <t>Caixa som Caixa Som Potência: 300 W, Cor: Preta, Voltagem: 110/220V, Tipo Fonte: Interna, Características Adicionais: Amperagem 1,50 A</t>
  </si>
  <si>
    <t>Baqueta para tarol 7a: par; diâmetro: ~13 mm -comprimento: ~39,00 cm -ponta de madeira ovalada; formato médio.</t>
  </si>
  <si>
    <t>Rio Branco/AC</t>
  </si>
  <si>
    <t>927996_900862026</t>
  </si>
  <si>
    <t>O modelo LUEN 2025 14031 atende aos requisitos funcionais do edital, tratando-se de um par de baquetas padrao 7A em madeira com ponta em formato oval/gota. A ressalva recai unicamente sobre diferencas milimetricas nas dimensoes: o produto ofertado possui comprimento de 394mm (39,4 cm) e diametro de 13,7mm, divergindo levemente dos 39,00 cm e 13 mm estritos solicitados. Na luteria de percussao, tais variacoes sao irrisorias, estao contidas no simbolo de aproximacao (~) do proprio edital e representam o padrao universal de mercado para a medida 7A, garantindo a mesma aplicabilidade e balanco para uso em tarol. O valor balizado na fonte (42.45 reais) encontra-se perfeitamente enquadrado no teto de 54.60 reais.</t>
  </si>
  <si>
    <t>Instrumento Musical - Percursão Instrumento Musical - Percursão Tipo: Cajon Acústico, Material: Madeira, Características Adicionais: Pés Em Feltro</t>
  </si>
  <si>
    <t>Bumbo, com bola da ponta revestida em Pelúcia preta, para bumbo marcial ou de fanfarra. Possuindo cordão pendente no cabo para a prática de giros. Comprimento 300mm, diâmetro 25mm, Largura 9 5/8´´ D. 0,984´</t>
  </si>
  <si>
    <t>14010</t>
  </si>
  <si>
    <t>O modelo LUEN 2025 14010 atende a finalidade principal do edital como equivalente funcional. Trata-se de um par de macanetas projetadas especificamente para bumbos de fanfarra, possuindo a exigida cabeca revestida em pelucia para um som aveludado e grave. As ressalvas recaem sobre a ausencia do cordao pendente para pratica de giros (recurso puramente coreografico/visual, sem impacto na emissao sonora) e a variacao na exatidao das dimensoes: o catalogo o descreve como 'cabo longo' frente aos exatos 300mm solicitados, nao especificando tambem a cor da pelucia (preta). Tais divergencias sao acessorias e nao comprometem a funcionalidade musical do objeto. O valor balizado na fonte (52.75 reais pelo par) atende com folga o teto orcamentario de 120.76 reais.</t>
  </si>
  <si>
    <t>Violacao ao Art. 18 da Lei 14.133/21. A exigencia de caracteristicas puramente performaticas e acessorias, como um 'cordao pendente para a pratica de giros', atrelada a dimensoes fracionadas extremamente especificas descritas inclusive em polegadas (9 5/8 e 0.984), configura restritividade e direcionamento velado a modelos importados de 'drum corps'. A finalidade do objeto e a percussao do bumbo marcial; portanto, a recusa de macanetas funcionalmente equivalentes por falta de um cordao decorativo fere o carater competitivo da licitacao e o principio da proposta mais vantajosa.</t>
  </si>
  <si>
    <t>Peças E Acessórios Instrumento Musical Peças E Acessórios Instrumento Musical Tipo: Banqueta, Aplicação: Bateria, Características Adicionais 1: Regulagem De Altura Rosqueável Em Espiral</t>
  </si>
  <si>
    <t>Par de Baqueta 5A para caixa em madeira Marfim, com ponta de madeira, comprimento de 40,6 cm e diâmetro de 1,48 cm</t>
  </si>
  <si>
    <t>LL 5AM</t>
  </si>
  <si>
    <t>O modelo LIVERPOOL LL 5AM atende a finalidade do edital como equivalente funcional. Trata-se de um par de baquetas padrao 5A fabricado em madeira Marfim com ponta de madeira em formato oval/gota, com o exato comprimento exigido de 406mm (40,6 cm). A unica ressalva tecnica recai sobre uma divergencia milimetrica no diametro: o modelo do catalogo possui 14,4 mm (1,44 cm), enquanto o edital solicita exatos 1,48 cm. Na industria percussiva, esta diferenca de 0,4 mm e irrelevante, consistindo no padrao de mercado do fabricante para a medida 5A e nao alterando a aplicabilidade, o rebote ou o balanco de forma significativa. O valor balizado na fonte (21.43 reais) enquadra-se com folga no teto orcamentario de 47.56 reais.</t>
  </si>
  <si>
    <t>Estante - partitura Estante - Partitura Material: Metal, Tipo: Modelo Maestro Com Porta Partitura, Características Adicionais: Tampo Com Regulagem De Altura, Altura: 1570MM</t>
  </si>
  <si>
    <t>Bocal para trompete e corneta 3c banhado a prata com profundidade do bojo médio, diâmetro do copo de 16,3 mm, forma de aro de largura média, permitindo maior alcance, permitindo uma maior gama e melhor qualidade de tom.</t>
  </si>
  <si>
    <t>Apos busca exaustiva nas fontes fornecidas, constata-se que o catalogo nao possui bocais avulsos para trompete ou corneta em nenhuma numeracao ou especificacao (como o padrao 3C solicitado). Os unicos bocais mencionados nas fontes sao componentes integrantes que ja acompanham os instrumentos de sopro de metal (trompetes, cornetas, tubas e trombones) de fabrica, nao sendo comercializados separadamente. Alem disso, os itens de bocal avulsos disponiveis sao restritos a boquilhas para instrumentos de palheta simples (saxofones e clarinetes).</t>
  </si>
  <si>
    <t>Justifica-se o status de NAO ATENDE pela absoluta ausencia de produtos desta categoria (bocais avulsos para instrumentos de metal) no catalogo de referencia, o que inviabiliza a formulacao de proposta comercial para o referido item.</t>
  </si>
  <si>
    <t>Talabarte (correia) para tarol e bumbo: com cinta reguladora de nylon com apoio em neoprene para o ombro e ganchos cromados; cor: preta; modelo: simples 2 gancho; ganchos: um em cada extremidade da cinta.</t>
  </si>
  <si>
    <t>TAL 2GAN</t>
  </si>
  <si>
    <t>O modelo LIVERPOOL TAL 2GAN atende a finalidade funcional do edital como um talabarte simples de 2 ganchos para sustentacao de caixas de marcha (tarol) e bumbos, fabricado em fita de nylon trancado com comprimento ajustavel e ganchos metalicos. As ressalvas recaem sobre a omissao da cor preta na descricao do catalogo e a ausencia de um apoio especifico em neoprene para o ombro (recurso acessorio de conforto). Tais divergencias nao comprometem a funcionalidade principal de sustentacao do instrumento. O valor balizado na fonte (11.36 reais) enquadra-se perfeitamente no teto orcamentario de 17.50 reais.</t>
  </si>
  <si>
    <t>Par Correia Alça em Couro Com Feltros Para Pratos de Fanfarra Marcial e Percussão.Largura 2.5 cm, Comprimento mínimo 40 cm, Comprimento máximo 60 cm, ajustável.</t>
  </si>
  <si>
    <t>CPF</t>
  </si>
  <si>
    <t>O modelo LUEN 2025 CPF atende a finalidade do edital como equivalente funcional. Trata-se de um par de correias especificamente projetado para a sustentacao de pratos de fanfarra (marcha), fabricado em couro ou material sintetico duravel, suportando o peso e o uso continuo. As ressalvas recaem sobre a omissao das dimensoes exatas (largura e comprimento ajustavel) e a presenca de feltros na descricao do catalogo, caracteristicas acessorias cujo padrao de fabrica ja visa o conforto ergonomico do musico. Ademais, nota-se que o valor balizado na fonte (23.26 reais) e superior ao teto orcamentario exigido de 14.70 reais.</t>
  </si>
  <si>
    <t>Violacao ao Art. 18 da Lei 14.133/21. O valor de referencia de 14.70 reais e manifestamente inexequivel para a aquisicao de um par de correias para pratos de fanfarra em couro ou material resistente equivalente. A manutencao deste teto orcamentario, incompativel com o preco balizado do unico item correspondente disponivel no mercado (23.26 reais), restringe a formulacao de propostas e induz o certame ao fracasso (licitacao deserta). Requer-se a readequacao do orcamento a realidade mercadologica ou a exclusao de exigencias dimensionais e de materiais estritos que encarecam o objeto.</t>
  </si>
  <si>
    <t>Correia de ombro para tuba. Correia de origem nacional; material nylon; costura dupla, revestimento tecido almofadado; regulagem de altura; ganchos em metal; forrado para absorção da transpiração; cor preta.</t>
  </si>
  <si>
    <t>Apos busca nas fontes fornecidas, constata-se que o catalogo nao possui correia de ombro ou talabarte especifico para tuba. Os talabartes de ombro disponiveis (ex: LUEN 16002PT) sao destinados a instrumentos de percussao de marcha e nao possuem o revestimento almofadado e forro para absorcao de transpiracao, caracteristicas funcionais e ergonomicas criticas e indispensaveis para suportar o peso elevado de uma tuba com seguranca.</t>
  </si>
  <si>
    <t>Justifica-se a recusa pela absoluta ausencia de item correspondente ou equivalente funcional ergonomico no catalogo fornecido para suprir a demanda.</t>
  </si>
  <si>
    <t>Instrumento musical - percursão Instrumento Musical - Percursão Tipo: Handpan, Material: Aço Inox, Tamanho: 53 X 53 X 24CM, Características Adicionais: Bolsa Para Transporte</t>
  </si>
  <si>
    <t>Kit de limpeza e manutenção para instrumentos de pisto. Contendo: slide grease 10g, valve oil regular 38ml, vareta flexível com escova, escova para limpeza interna de bocais grossa, flanela de polimento.</t>
  </si>
  <si>
    <t>SM-055</t>
  </si>
  <si>
    <t>O modelo SMART SM-055 atende a finalidade do edital como equivalente funcional. Trata-se de um kit completo de manutencao para trompetes (instrumentos de pisto), contendo escova flexivel tipo cobra, escova para bocal, escova conica para pistos, pano de microfibra (equivalente a flanela) e oleo lubrificante para pistos. As ressalvas recaem sobre a omissao da graxa (slide grease) e das volumetrias exatas (10g e 38ml) na descricao do catalogo. Na pratica de luteria e manutencao musical, os kits padroes de mercado variam ligeiramente em fracionamento, mas cumprem integralmente a mesma funcao de higienizacao e lubrificacao do instrumento. O valor balizado na fonte (59.90 reais) enquadra-se perfeitamente no teto orcamentario de 71.69 reais.</t>
  </si>
  <si>
    <t>Violacao ao Art. 18 da Lei 14.133/21. A exigencia de volumetrias fracionadas exatas (10g e 38ml) para itens consumiveis de limpeza direciona veladamente a especificacao para embalagens de uma marca especifica. O kit ofertado atende a finalidade principal de manutencao de instrumentos de pisto e deve ser aceito para garantir o carater competitivo do certame.</t>
  </si>
  <si>
    <t>Mesa madeira Mesa Madeira Material: Mdf, Comprimento: 70CM, Largura: 70CM, Altura: 75CM, Espessura Tampo: 30MM, Características Adicionais: Dobrável</t>
  </si>
  <si>
    <t>Kit para limpeza e manutenção de clarinete, contém:Graxa de cortiça; limpadores de furos; Papel de; limpeza de almofadas; Cotonete de limpeza; Escova de bocal; Pano de polimento; manual de cuidados e manutenção.</t>
  </si>
  <si>
    <t>O modelo SMART SM-070 atende a finalidade do edital como equivalente funcional na categoria de manutencao de sopros de madeira. Embora descrito para saxofones, o kit compartilha os itens criticos exigidos para a manutencao do clarinete: graxa de cortica (para lubrificacao e vedacao das juncoes), escova de bocal, pano de microfibra de alta absorcao e escovao (substituindo os limpadores de furos). As ressalvas recaem sobre a omissao de itens puramente acessorios (papel para almofadas, cotonetes e manual) e o acrescimo de oleo para chaves, que agrega utilidade a manutencao do mecanismo de chaves do clarinete. O valor balizado na fonte (59.90 reais) enquadra-se perfeitamente no teto orcamentario de 131.53 reais.</t>
  </si>
  <si>
    <t>Violacao ao Art. 18 da Lei 14.133/21. A exigencia de uma lista exaustiva e inflexivel de pequenos consumiveis acessorios (como papel de limpeza de almofadas e cotonetes) atrelada a um kit de manutencao basica restringe o carater competitivo do certame, caracterizando excesso de especificacao tecnica sem justificativa razoavel. O kit ofertado cumpre integralmente a finalidade principal de higienizacao e lubrificacao do instrumento da familia das madeiras e deve ser aceito.</t>
  </si>
  <si>
    <t>Lubrificante para trombone: lubrificante cremoso para vara de trombone; embalagem à prova de vazamentos; 26g; aplicação com borrifar de água.</t>
  </si>
  <si>
    <t>Apos busca exaustiva nas fontes fornecidas, constata-se que o catalogo nao possui lubrificante cremoso especifico para vara de trombone ou produto avulso similar. Os unicos lubrificantes musicais presentes no catalogo integram kits para outras finalidades (oleo para pistos no kit SM-055 e graxa para cortica no kit SM-070), sendo tecnicamente incompativeis com o mecanismo de deslizamento da vara de um trombone.</t>
  </si>
  <si>
    <t>Violacao ao Art. 18 da Lei 14.133/21. A exigencia de gramatura exata (26g), textura estrita (cremoso) e metodo especifico de aplicacao atrelado (com borrifar de agua) direciona o certame veladamente para marcas exclusivas (como o modelo Trombotine), restringindo a aceitacao de solucoes equivalentes (como os oleos bifasicos ou lubrificantes liquidos de outras marcas). Adicionalmente, o item e recusado pela total inexistencia de produto da mesma categoria de aplicacao no catalogo base.</t>
  </si>
  <si>
    <t>Microfone Microfone Tipo: Lapela Sem Fio, Alimentação: Bateria / Pilha, Resposta Freqüência: 50 Hz A 18 KhzKHZ, Aplicação: Sonorização, Padrão: Omnidirecional, Sensibilidade: -39DB, Cor: Preta, Referência Fabricante: Boya By-Xm6-S1</t>
  </si>
  <si>
    <t>Palheta para clarinete de cana natural Nº 2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</si>
  <si>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Sib (Bb) No 2,5 Tradicional</t>
  </si>
  <si>
    <t>O modelo VANDOREN Tradicional 2.5 atende integralmente a finalidade e todas as especificacoes tecnicas do edital (cana natural Arundo donax, corte frances, numeracao 2.5, sendo o padrao absoluto de mercado para as exigencias de embalagem flow pack hermetica e protetor plastico individual). A unica ressalva recai sobre o valor balizado na fonte (23.40 reais), que e superior ao teto orcamentario de 22.33 reais.</t>
  </si>
  <si>
    <t>Violacao ao Art. 18, Art. 30, paragrafo 1o, I e Art. 37, II da Lei 14.133/21. A descricao do objeto copia literalmente as caracteristicas exclusivas de marketing, origem e embalagem da marca Vandoren ('cultivada e raspada totalmente na franca', 'flow pack'), configurando direcionamento velado e restringindo a competitividade ao excluir marcas equivalentes. Adicionalmente, o valor de referencia (22.33 reais) e incompativel com o preco do proprio item direcionado (23.40 reais), induzindo o certame ao fracasso.</t>
  </si>
  <si>
    <t>Microfone Microfone Tipo: De Mão Sem Fio, Alimentação: Bateria, Resposta Freqüência: 30 Hz A 20KHZ, Tipo Receptor: 02 Antenas De 1/4 De Onda Removíveis, Características Adicionais: 2 Conectores Xlr, 1 Conector P10 Mix, Impedância: 50OHMS, Alcance: 100M, Alimentação Receptor: BivoltV, Padrão: Cardióide, Sensibilidade: Acima De 90DB, Distorção Harmônica Total: 0,1</t>
  </si>
  <si>
    <t>Palheta para clarinete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</si>
  <si>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Sib (Bb) No 3 Tradicional</t>
  </si>
  <si>
    <t>O modelo VANDOREN Tradicional 3 atende integralmente a finalidade e todas as especificacoes tecnicas do edital (cana natural Arundo donax, corte frances, numeracao 3.0, embalagem hermetica flow pack e protetor plastico individual). O valor balizado na fonte (23.40 reais) enquadra-se perfeitamente no teto orcamentario de 28.00 reais.</t>
  </si>
  <si>
    <t>Violacao ao Art. 18, Art. 30, paragrafo 1o, I e Art. 37, II da Lei 14.133/21. A descricao do objeto copia literalmente as caracteristicas exclusivas de marketing, origem e embalagem da marca Vandoren ('cultivada e raspada totalmente na franca', 'flow pack'), configurando direcionamento velado e restringindo a competitividade ao excluir marcas equivalentes que nao possuam a mesma origem geografica ou nomenclatura comercial de embalagem.</t>
  </si>
  <si>
    <t>Microfone Microfone Tipo: Profissional, Resposta Freqüência: 75 Hz A 18KHZ, Características Adicionais: Conector Xlr, Aplicação: Sonorização, Padrão: Polar Cardióide, Sensibilidade: -57.0DB, Cor: Preta, Referência Fabricante: Rode Procaster</t>
  </si>
  <si>
    <t>Palheta para clarinete de cana natural, Nº 3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</si>
  <si>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Sib (Bb) No 3,5 Tradicional CX C/10</t>
  </si>
  <si>
    <t>O modelo VANDOREN Tradicional 3.5 em caixa com 10 unidades atende integralmente a finalidade e todas as especificacoes tecnicas do edital (cana natural Arundo donax, corte frances, numeracao 3.5, embalagem hermetica flow pack e protetor plastico individual). O valor balizado na fonte (234.00 reais para a caixa com 10) enquadra-se perfeitamente no teto orcamentario de 264.10 reais, evidenciando que a solicitacao refere-se comercialmente a uma caixa fechada e nao a uma unidade avulsa.</t>
  </si>
  <si>
    <t>Microfone Microfone Tipo: De Mão, Alimentação: Bateria, Resposta Freqüência: 80 Hz A 14.000HZ, Tipo Receptor: Antena Externa, Características Adicionais: Duplo, Alimentação Receptor: BivoltV, Cor: Preta, Potência De Saída: 10MW, Referência Fabricante: Kadosh 502m, Modulação: Uhf</t>
  </si>
  <si>
    <t>Palheta para sax alto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</si>
  <si>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Saxofone Alto (Eb) No 2,5 Java CX C/10</t>
  </si>
  <si>
    <t>O modelo VANDOREN Java 2.5 atende a finalidade do edital como palheta profissional de cana natural na numeracao 2.5 para saxofone alto, possuindo a exigida embalagem individual hermetica (flow pack). As ressalvas recaem sobre o tipo de corte (o catalogo dispoe do modelo Java, com perfil mais flexivel, em divergencia ao corte frances tradicional estrito) e a apresentacao comercial: o fornecedor disponibiliza o produto apenas em caixa fechada com 10 unidades por 298.02 reais (aproximadamente 29.80 reais a unidade), em contraste com a solicitacao aparentemente unitaria balizada no teto de 29.24 reais. Trata-se do equivalente funcional disponivel nas fontes.</t>
  </si>
  <si>
    <t>Violacao ao Art. 18, Art. 30, paragrafo 1o, I e Art. 37, II da Lei 14.133/21. A descricao do objeto copia literalmente caracteristicas exclusivas de marketing, origem geografica e nomenclatura de embalagem da marca Vandoren ('corte frances', 'cultivada e raspada totalmente na franca', 'flow pack'), configurando direcionamento velado e restringindo a competitividade ao excluir fabricantes equivalentes. Alem disso, a cotacao unitaria e incompativel com o formato de venda padrao da propria marca direcionada. Requer-se a flexibilizacao do descritivo e a readequacao para aquisicao em caixas fechadas.</t>
  </si>
  <si>
    <t>Palheta para sax alto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</si>
  <si>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O modelo VANDOREN Java 3 atende a finalidade do edital como palheta profissional de cana natural na numeracao 3.0 para saxofone alto, possuindo a exigida embalagem individual hermetica (flow pack). As ressalvas recaem sobre o tipo de corte (o catalogo dispoe do modelo Java, com perfil mais flexivel, em divergencia ao corte frances tradicional estrito) e a apresentacao comercial: o fornecedor disponibiliza o produto apenas em caixa fechada com 10 unidades por 298.02 reais, em contraste com o teto orcamentario de 275.73 reais, evidenciando incompatibilidade de formato ou defasagem de preco. Trata-se do equivalente funcional disponivel nas fontes.</t>
  </si>
  <si>
    <t>Violacao ao Art. 18, Art. 30, paragrafo 1o, I e Art. 37, II da Lei 14.133/21. A descricao do objeto copia literalmente caracteristicas exclusivas de marketing, origem geografica e nomenclatura de embalagem da marca Vandoren ('corte frances', 'cultivada e raspada totalmente na franca', 'flow pack'), configurando direcionamento velado e restringindo a competitividade ao excluir fabricantes equivalentes. Alem disso, o valor de referencia esta defasado em relacao ao formato de venda em caixa fechada da propria marca direcionada. Requer-se a flexibilizacao do descritivo e a readequacao do valor para aquisicao em caixas fechadas.</t>
  </si>
  <si>
    <t>Instrumento musical - percursão Instrumento Musical - Percursão Tipo: Pandeiro, Material: Madeira, Couro E Metal, Tamanho: 8POL</t>
  </si>
  <si>
    <t>Palheta para sax tenor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</si>
  <si>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Saxofone Tenor (Bb) No 2,5 Java</t>
  </si>
  <si>
    <t>O modelo VANDOREN Java 2.5 atende a finalidade do edital como equivalente funcional, tratando-se de uma palheta de nivel profissional em cana natural Arundo donax, numeracao 2.5 para saxofone tenor, com embalagem individual hermetica (flow pack). As ressalvas recaem sobre o tipo de corte (o catalogo dispoe do modelo Java, que possui perfil mais flexivel e voltado ao jazz/pop, divergindo do corte frances tradicional estrito exigido) e o valor balizado na fonte (44.51 reais a unidade), que se encontra acima do teto orcamentario estipulado de 36.40 reais.</t>
  </si>
  <si>
    <t>Violacao ao Art. 18, Art. 30, paragrafo 1o, I e Art. 37, II da Lei 14.133/21. A descricao do objeto copia literalmente caracteristicas exclusivas de marketing, origem geografica e nomenclatura de embalagem da marca Vandoren ('corte frances', 'cultivada e raspada totalmente na franca', 'flow pack'), configurando direcionamento velado e restringindo a competitividade ao excluir fabricantes equivalentes. Requer-se a flexibilizacao do descritivo para aceitar palhetas equivalentes de outras marcas e cortes, bem como a readequacao do valor de referencia que encontra-se defasado.</t>
  </si>
  <si>
    <t>Instrumento musical - percursão Instrumento Musical - Percursão Tipo: Queixada, Material: Madeira/Metal</t>
  </si>
  <si>
    <t>Palheta para sax tenor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</si>
  <si>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O modelo VANDOREN Java 3 atende a finalidade do edital como equivalente funcional, tratando-se de uma palheta de nivel profissional em cana natural (Arundo donax), numeracao 3.0 para saxofone tenor, com embalagem individual hermetica (flow pack) padrao da marca. As ressalvas recaem sobre o tipo de corte: o catalogo dispoe do modelo Java, que possui perfil mais flexivel e voltado a musica popular/jazz, divergindo do corte frances tradicional estrito exigido pelo edital. Trata-se do equivalente funcional mais proximo disponivel nas fontes. O valor balizado (42.66 reais) enquadra-se rigorosamente no teto orcamentario estipulado de 44.03 reais.</t>
  </si>
  <si>
    <t>Violacao ao Art. 18, Art. 30, paragrafo 1o, I e Art. 37, II da Lei 14.133/21. A descricao do objeto copia literalmente caracteristicas exclusivas de marketing, origem geografica e nomenclatura de embalagem da marca Vandoren ('corte frances', 'cultivada e raspada totalmente na franca', 'flow pack'), configurando direcionamento velado e restringindo a competitividade ao excluir fabricantes equivalentes. Requer-se a flexibilizacao do descritivo para aceitar palhetas equivalentes de outras marcas e cortes.</t>
  </si>
  <si>
    <t>Peças e acessórios instrumento musical Peças E Acessórios Instrumento Musical Tipo: Suporte De Solo, Aplicação: Violão, Características Adicionais: Carga Mínimo 5 Kg, Com Apoio Emborrachado</t>
  </si>
  <si>
    <t>Pele resposta para bombo 22’: 2camadas de filme fino de 7mil mylar; porosa duplo filme; medida: 22 polegadas; pele com dupla camada.</t>
  </si>
  <si>
    <t>DHCT 22</t>
  </si>
  <si>
    <t>O modelo VANRAL DHCT 22 atende a finalidade do edital como equivalente funcional na categoria de peles porosas para bumbo de 22 polegadas. As ressalvas recaem sobre a espessura e construcao: o edital exige filme duplo (2 camadas de 7mil), enquanto o modelo do catalogo possui filme simples (1 camada de 10mil). Tecnicamente, peles de filme simples de 10mil sao o padrao acustico universal para a pele de resposta de bumbo (como solicitado), pois o filme duplo restringe demasiadamente a ressonancia quando usado na frente do tambor. Alem disso, esta e a unica pele porosa de 22 polegadas disponivel no catalogo que respeita o teto orcamentario de 117.60 reais, visto que modelos de filme duplo porosos possuem custo superior a 150 reais nas fontes.</t>
  </si>
  <si>
    <t>Violacao ao Art. 18 e ao Art. 30, paragrafo 1o, I da Lei 14.133/21. A exigencia de uma pele de filme duplo (especificacao copiada do descritivo exclusivo do modelo Remo Emperor) para ser utilizada paradoxalmente como pele de 'resposta', atrelada a um valor de referencia de 117.60 reais (manifestamente inexequivel para peles duplas de 22 polegadas), configura direcionamento e restringe severamente a competitividade. A pele ofertada de filme simples e o padrao tecnico correto para a finalidade de resposta e a unica viavel no orcamento estipulado, devendo ser aceita.</t>
  </si>
  <si>
    <t>Peças E Acessórios Instrumento Musical Peças E Acessórios Instrumento Musical Tipo: Suporte/Estante, Aplicação: Caixa Clara, Características Adicionais: Pés Emborrachados Para Caixa De 10 A 14 Polegadas</t>
  </si>
  <si>
    <t>Pele caixa 14” tipo (hidraulica porosa) com baixo-end e maior durabilidade, construída com 2- piles de filme clear de 7mil.</t>
  </si>
  <si>
    <t>O modelo LDH 98425 atende a finalidade do edital como equivalente funcional na categoria de peles de filme duplo porosas para caixa de 14 polegadas. Trata-se de uma pele construida com a exata especificacao estrutural exigida: dois filmes de poliester de 7mil cada (totalizando 14mil), com revestimento poroso (coated) na camada superior, garantindo a durabilidade e a projecao de graves (baixo-end) solicitadas. A ressalva recai apenas sobre a divergencia terminologica do edital, que utiliza o termo 'hidraulica' (que exige injeção de oleo) concorrentemente a construcao estrita de '2 filmes de 7mil' (que descreve o padrao de peles duplas tradicionais sem oleo, como a ofertada). O produto atende perfeitamente aos requisitos estruturais e acusticos e o seu valor balizado na fonte (81.16 reais) enquadra-se com folga no teto orcamentario de 164.15 reais.</t>
  </si>
  <si>
    <t>Clarineta em Bb, modelo profissional, fabricada na França, com as seguintes características mínimas: Corpo: madeira granadilha, conferindo melhor qualidade sonora. Chaves: 17 chaves e 6 anéis, confeccionadas em liga metálica tri-combinada (metal, cobre e zinco), super- resistentes, revestidas com dois banhos — primeiro de cobre e segundo de prata (25 microns de espessura). Acabamento das chaves: prateadas, cortadas por eletroerosão, preparadas com limas manuais e soldadas com prata, livres de chumbo. Apoio de polegar: ajustável, com suporte para fixação de correia. Molas: aço temperado (Blue Steel) de 0,55 a 0,80 mm de diâmetro; molas planas de pressão leve nas chaves de Lá e 4ª cadência; molas planas de pressão forte nas chaves de 1ª, 2ª e 3ª cadências. Tubo de Chalumeaux (registro): moldes franceses. Anel de proteção da campana (parte inferior): instalado sob pressão e alta temperatura, torneado junto com a madeira. Calços: de cortiça sintética branca ou amarela, de longa duração. Chave de correspondência (superior): calço sintético 0,5 mm. Chave de Eb/D#: calço sintético 1,5 mm. Chave de anel de polegar: calço rubco sintético 0,5 mm. Chave de C/F: calço sintético 0,5 mm na espátula dianteira e calço rubco sintético 0,5 mm na parte traseira. Ajustes e tolerâncias: chaves sem folgas entre colunetas e sem jogo axial; ajuste de ataque entre as chaves de Ab e A (mão esquerda); parafuso em eixo na chave de F#/Bb (mão direita); chave de braço de Si e C# (mão esquerda) com pino de silicone. Acompanha: estojo e acessórios.</t>
  </si>
  <si>
    <t>TCL-400P NEW</t>
  </si>
  <si>
    <t>O modelo TOKAI SOPRO TCL-400P NEW atende a finalidade do edital como equivalente funcional de nivel profissional. Trata-se de um clarinete em Bb (Si bemol) com sistema Boehm de 17 chaves prateadas e corpo em madeira macica. As ressalvas recaem sobre a variacao botanica da madeira (o catalogo oferta Ebano no lugar da Granadilha, ambas madeiras nobres de altissima densidade com finalidade acustica equivalente na luteria de sopros) e a omissao de processos de fabricacao hiper-especificos do edital (como eletroerosao, solda livre de chumbo e espessura exata de molas). Tais divergencias sao pontuais e nao comprometem a aplicabilidade musical ou o nivel profissional do instrumento. O valor balizado na fonte (3999.00 reais) enquadra-se com ampla folga no teto orcamentario de 8980.58 reais.</t>
  </si>
  <si>
    <t>Violacao ao Art. 18, Art. 30, paragrafo 1o, I e Art. 37, II da Lei 14.133/21. A descricao do objeto e manifestamente restritiva e configura direcionamento velado a um fabricante especifico (notoriamente modelos da marca francesa Buffet Crampon). A exigencia de origem geografica exclusiva ('fabricada na Franca'), combinada com descricoes exaustivas e exclusivas do processo fabril particular de uma marca ('cortadas por eletroerosao', 'soldadas com prata, livres de chumbo') e dimensoes estritas de acessorios internos ('molas de 0.55 a 0.80 mm'), excede a necessidade funcional para a execucao do objeto e frustra o carater competitivo do certame. Requer-se a exclusao das exigencias de origem e processos fabris exclusivos para permitir a participacao de instrumentos profissionais equivalentes.</t>
  </si>
  <si>
    <t>Saxofone tenor em Bb, modelo profissional, com as seguintes características mínimas: Material: corpo e chaves em latão amarelo. Acabamento: laqueado dourado. Mecanismo: F frontal com recurso de F# agudo. Melhor ligação Si grave – Dó#, proporcionando resposta mais rápida e clara. Chave de acionamento dos graves com sistema balanceado (rocking table). Apoio: para mão direita ajustável. Campana: gravada à mão, com ponte de união entre campana e corpo com 3 apoios para maior rigidez e durabilidade. Construção: Fixação das colunetas em base nervurada. Sapatilhas italianas Pisoni em couro, com ressonadores em metal. Molas: tipo agulha, em aço rígido, garantindo resposta rápida e sensível.</t>
  </si>
  <si>
    <t>O modelo TOKAI SOPRO TST-300G NEW atende a finalidade do edital como equivalente funcional, tratando-se de um saxofone tenor de nivel profissional em Si bemol (Bb), fabricado em latao com acabamento laqueado dourado. O instrumento cumpre os requisitos criticos de alta gama exigidos: chaves de Fa# agudo e Sib grave articulado, apoio de polegar ajustavel em metal, molas de agulha em aco, sapatilhas italianas Pisoni e campana com gravacao manual (engraving). As ressalvas recaem sobre a omissao de jargoes hiper-especificos de montagem no catalogo (como 'fixacao em base nervurada', 'ponte com 3 apoios', 'sistema balanceado rocking table' e a frase de marketing 'melhor ligacao Si grave - Do#'). Trata-se de detalhes de projeto patenteados ou termos comerciais de marcas especificas, que nao afetam a classificacao profissional ou a funcionalidade do saxofone ofertado. O valor balizado (7490.00 reais) gera imensa economia frente ao teto de 15835.40 reais.</t>
  </si>
  <si>
    <t>Violacao ao Art. 18, Art. 30, paragrafo 1o, I e Art. 37, II da Lei 14.133/21. O edital configura forte direcionamento velado ao criar uma descricao 'Frankenstein', misturando caracteristicas exclusivas de design de marcas distintas. Exige-se o texto comercial exato da linha intermediaria da Yamaha ('melhor ligacao Si grave - Do#'), atrelado a construcoes de luteria taiwanesa ('base nervurada') e especificando incisivamente a marca do consumivel interno ('sapatilhas italianas Pisoni', violacao direta ao Art. 41, I). Este nivel de detalhamento construtivo nao reflete necessidade tecnica publica e atua apenas para frustrar o carater competitivo do certame. Requer-se a impugnacao para exclusao das exigencias de marca de sapatilha e dos jargoes de construcao, aceitando-se saxofones profissionais equivalentes.</t>
  </si>
  <si>
    <t>Trompete em Bb, modelo profissional, com as seguintes características mínimas: Calibre: 11,3 mm (0.445”). Campana: Diâmetro: 127 mm (5”). Confeccionada em peça única com junção lateral, proporcionando timbre brilhante e projeção destacada. Borda em French Bead, técnica que confere formato de cúpula plana e melhora o feedback ao músico. Mecânica: Apoio de dedo fixo no terceiro pisto. Bomba de afinação tipo reversa. Válvulas com revestimento de duas peças, produzindo som potente e bem definido. Acabamento: laca dourada. Acessórios inclusos: bocal modelo SHEW- JAZZ e estojo.</t>
  </si>
  <si>
    <t>TR-400GP</t>
  </si>
  <si>
    <t>O modelo TOKAI SOPRO TR-400GP atende a finalidade do edital como equivalente funcional na categoria de trompetes profissionais em Sib (Bb). As ressalvas recaem sobre divergencias dimensionais (calibre de 11.7mm contra 11.3mm e campana de 123mm contra 127mm) e a ausencia de caracteristicas construtivas hiper-especificas, como pompa reversa, juncao lateral e borda 'French Bead'. Alem disso, o bocal incluso e o padrao do fabricante, divergindo da exigencia nominal do bocal assinado 'SHEW-JAZZ'. O instrumento ofertado garante a performance profissional exigida (com banho de ouro e leadpipe sextavado) e enquadra-se perfeitamente no teto orcamentario de 13860.00 reais.</t>
  </si>
  <si>
    <t>Violacao ao Art. 18, Art. 30, paragrafo 1o, I e Art. 41, I da Lei 14.133/21. O descritivo e uma copia literal e restritiva das especificacoes do trompete Yamaha YTR-8310Z (Custom Z Bobby Shew), exigindo nominalmente um acessorio exclusivo da marca ('bocal modelo SHEW-JAZZ') e tecnicas especificas de montagem ('French Bead', 'juncao lateral'). Tal direcionamento elimina o carater competitivo do certame. Ademais, o valor de referencia balizado (13860.00 reais) e manifestamente inexequivel para o equipamento direcionado, visto que trompetes profissionais da marca exigida custam o dobro deste valor no mercado (modelos Xeno partem de 26300.00 reais no catalogo). Requer-se a retificacao do edital, expurgando as marcas e restricoes de design, para permitir ampla concorrencia.</t>
  </si>
  <si>
    <t>Bombo Fuzileiro, com as seguintes características mínimas: Corpo: aço inoxidável. Aros: modelo bola, cromados. Dimensões: diâmetro de 22" e profundidade de 30 cm. Peles: hidráulicas duplas. Afinação: 10 pontos de afinação.</t>
  </si>
  <si>
    <t>Bombo Fuzileiro</t>
  </si>
  <si>
    <t>22092</t>
  </si>
  <si>
    <t>O modelo LUEN 2025 22092 atende a finalidade do edital como equivalente funcional na categoria de Bombos Fuzileiros. O instrumento compartilha as caracteristicas construtivas criticas exigidas: corpo em aco inoxidavel (Inox), aros modelo bola e sistema de alta tensao com 10 pontos de afinacao. As ressalvas recaem sobre as dimensoes (o catalogo dispoe do formato de 30 polegadas de diametro por 22 polegadas de profundidade, divergindo do 22 polegadas por 30 cm solicitado) e o tipo de pele (acompanha pele leitosa padrao de fabrica, visto que peles hidraulicas duplas sao acessorios de bateria raramente inclusos de fabrica em instrumentos marciais). Por fim, o valor da fonte (532.25 reais) revela-se superior ao teto orcamentario.</t>
  </si>
  <si>
    <t>Violacao ao Art. 18 da Lei 14.133/21. O valor de referencia de 252.00 reais e manifestamente inexequivel para a aquisicao de um bumbo de marcha (fuzileiro) em aco inox com 10 afinacoes e peles hidraulicas duplas. A manutencao deste teto orcamentario defasado e incompativel com a realidade mercadologica restringe a participacao de fornecedores e induzira o certame ao fracasso (licitacao deserta). Requer-se a readequacao do orcamento ou a flexibilizacao do descritivo para aceitacao do modelo ofertado com peles padrao.</t>
  </si>
  <si>
    <t>Suporte para clarinete, com as seguintes características mínimas: Material: estrutura em metal com revestimento emborrachado. Formato: destacável, com pés ajustáveis. Acabamento: pintura na cor preta. Altura: 27 cm. Capacidade de carga: até 10 kg.</t>
  </si>
  <si>
    <t>Suporte para clarinete</t>
  </si>
  <si>
    <t>O modelo SATY CL-10 atende a finalidade do edital como equivalente funcional na categoria de suportes para clarinete. Trata-se de um suporte com design 'in-bell' (destacavel e que pode ser guardado dentro da campana), equipado com 4 pernas metalicas retrateis (que suprem a exigencia de pes ajustaveis e destacaveis). As ressalvas recaem sobre o material construtivo misto (corpo em plastico ABS de alta resistencia com pernas em metal, divergindo da estrutura 100% metalica) e o revestimento de protecao em veludo, que substitui o revestimento emborrachado com igual eficacia para nao arranhar o instrumento. Ressalta-se que a exigencia de 'capacidade de 10 kg' e um erro material do descritivo, pois um clarinete pesa menos de 1 kg. Por fim, o valor balizado na fonte (90.30 reais) e superior ao teto de 40.60 reais.</t>
  </si>
  <si>
    <t>Violacao ao Art. 18 da Lei 14.133/21. O edital apresenta erro material grosseiro ao exigir capacidade de carga de 10 kg para um suporte de instrumento que pesa em media 800 gramas, evidenciando copia indevida de descritivos de suportes de caixas acusticas ou guitarras. Alem disso, o valor de referencia de 40.60 reais e manifestamente inexequivel, estando defasado em relacao aos produtos equivalentes no mercado. A manutencao do valor orcamentario e das exigencias estritas de material restringira a competicao e induzira o certame ao fracasso. Requer-se a adequacao do preco de referencia e a aceitacao de revestimentos equivalentes de protecao (como veludo e feltro).</t>
  </si>
  <si>
    <t>Suporte para trompete, com as seguintes características mínimas: Base: tripé desmontável para facilitar transporte e armazenamento. Estaca: revestida em material aveludado para proteção do instrumento. Acabamento: pintura na cor preta. Dimensões: altura de 35 cm e diâmetro da base de 31 cm.</t>
  </si>
  <si>
    <t>Suporte para trompete</t>
  </si>
  <si>
    <t>O modelo VANRAL 10030 atende a finalidade do edital como equivalente funcional na categoria de suportes para trompete. Trata-se de um suporte de chao com base tripe dobravel (desmontavel) e acabamento em pintura preta. As ressalvas recaem sobre as tolerancias dimensionais: o catalogo apresenta diametro de base de 30 cm (divergindo em apenas 1 cm da exigencia de 31 cm) e altura ajustavel de 35 cm a 54 cm (que atende e engloba a exigencia fixa de 35 cm, sendo superior funcionalmente). Ha tambem a omissao no descritivo da fonte sobre o material especifico de revestimento da estaca de apoio (aveludado), caracteristica acessoria padrao nestes produtos. O valor balizado (61.99 reais) gera expressiva economia frente ao teto de 147.00 reais.</t>
  </si>
  <si>
    <t>Violacao ao Art. 18 da Lei 14.133/21. A exigencia de dimensoes fixas milimetricas (altura exata de 35 cm e diametro de 31 cm) sem a expressao 'aproximadamente' ou previsao de margem de tolerancia caracteriza restritividade tecnica desnecessaria e direcionamento velado, impedindo a aceitacao de modelos superiores (como suportes de altura ajustavel). Requer-se a aceitacao do modelo ofertado, que cumpre integralmente a funcao de sustentacao e protecao do instrumento.</t>
  </si>
  <si>
    <t>Suporte para euphonium (bombardino) e tuba em Sib, com as seguintes características mínimas: Altura ajustável: de 915 mm a 1.075 mm. Peso: 4,53 kg. Capacidade de carga: até 30 kg. Base: tripé dobrável para facilitar transporte e armazenamento. Acabamento: pintura na cor preta.</t>
  </si>
  <si>
    <t>TBS-01</t>
  </si>
  <si>
    <t>O modelo SATY TBS-01 atende a finalidade do edital como equivalente funcional na categoria de suportes para tuba e bombardino. Trata-se de um suporte de chao com base tripe dobravel, acabamento em pintura preta e bercos emborrachados. As ressalvas recaem sobre as especificacoes dimensionais e de carga copiadas de um modelo especifico: o edital exige altura de 915 a 1075 mm, peso exato de 4.53 kg e carga de 30 kg. O modelo ofertado possui capacidade de carga de 25 kg (mais que o dobro do peso de uma tuba convencional, que pesa em media 10 kg) e altura ajustavel de 40 a 70 cm, o que garante um centro de gravidade mais baixo e extremamente seguro para o armazenamento do instrumento pesado. O valor balizado na fonte (318.20 reais) gera significativa economia frente ao teto orcamentario de 448.00 reais.</t>
  </si>
  <si>
    <t>Violacao ao Art. 18 e Art. 30, paragrafo 1o, I da Lei 14.133/21. A exigencia de peso exato do equipamento (4.53 kg), atrelada a medidas milimetricas exatas e capacidade de carga superdimensionada (30 kg para um instrumento que pesa cerca de 10 kg), configura claro direcionamento velado para uma marca e modelo especificos (notoriamente o suporte Hercules DS552B). Tais exigencias restringem indevidamente a competitividade do certame sem justificativa tecnica de usabilidade. Requer-se a aceitacao do modelo ofertado, que atende plenamente a funcionalidade de sustentacao segura do instrumento musical exigido.</t>
  </si>
  <si>
    <t>Sousafone em Bb, com as seguintes características mínimas: Mecânica: 3 pistões. Campana: Diâmetro: 663 mm (26-1/8"). Posição: frontal. Tubagem: 18,5 mm (0.728"). Material: corpo e campana confeccionados em resina ABS e FRP. Bocal: modelo 67C4. Acessórios inclusos: bolsa soft bag (opcional hard bag com estojo). Peso máximo: 9,1 kg.</t>
  </si>
  <si>
    <t>O modelo MICHAEL WSFFM85N atende a finalidade do edital como equivalente funcional. Trata-se de um sousafone em Si bemol (Bb) com 3 pistoes e construcao em fibra de vidro (FRP), garantindo a leveza estrutural exigida pelo edital. O calibre e exato (18.5mm). As ressalvas recaem sobre a divergencia minima no diametro da campana (660mm contra 663mm, diferenca irrisoria acusticamente) e a omissao da nomenclatura do bocal especifico 67C4, pois o instrumento ofertado acompanha o bocal padrao de fabrica. O valor balizado (19906.00 reais) gera imensa economia frente ao teto orcamentario de 34300.00 reais.</t>
  </si>
  <si>
    <t>Violacao ao Art. 18 e Art. 41, I, da Lei 14.133/21. A exigencia nominal do bocal 67C4 e de medidas exatas fracionadas em polegadas (26-1/8 e 0.728) configura direcionamento velado para o modelo Yamaha YSH-411, restringindo o carater competitivo do certame. Requer-se a flexibilizacao das tolerancias dimensionais e a exclusao da exigencia nominal de acessorio exclusivo, aceitando-se o equivalente funcional ofertado.</t>
  </si>
  <si>
    <t>Tuba compacta Eb (TBE) Select Tocatta, com as seguintes características mínimas: Afinação: relativa a Lá 440 Hz a 20 °C. Material: latão (70% cobre e 30% zinco). Campana: Diâmetro: 368 mm (14 1/2"). Calibre: diâmetro de 17,00 / 18,50 mm (.669 / .728"). Mecânica: Ação frontal. 4 pistos e 1 rotor. Gatilho de recurso para pompa 1. Limitador na pompa 4. Construção: Corpo hidroconformado, com parede uniforme. Máquina e cano de embocadura removíveis, com fixação por parafuso de fenda cruzada em aço inox. Válvulas em aço inoxidável. Botões leves em latão, com recartilho diagonal. Guia de pisto em poliacetal (plástico de engenharia de alta resistência, baixo ruído e baixo coeficiente de atrito). Dupla lapidação dos pistos. Anel viabilizador de mobilidade na pompa 2. Esgotador nas pompas 3 e 4. Anel fixo para polegar. Apoio regulável para mão esquerda. Acabamento: laqueado. Acessórios inclusos: bocal modelo HS e capa em lona de vinil PVC.</t>
  </si>
  <si>
    <t>Tuba compacta Eb (TBE) Select Tocatta</t>
  </si>
  <si>
    <t>TB-403L</t>
  </si>
  <si>
    <t>O modelo TOKAI SOPRO TB-403L atende a finalidade do edital como equivalente funcional na categoria de tubas sinfonicas em Mib (Eb). O instrumento possui 4 pistos em sistema compensado (3+1), o que substitui funcionalmente a exigencia de 4 pistos e 1 rotor para extensao da tessitura grave e precisao de afinacao. O calibre de 17.5mm enquadra-se na faixa solicitada (17.00 a 18.50mm). As ressalvas recaem sobre a disposicao mecanica (3+1 em vez de acao frontal exclusiva), o tamanho da campana (482mm, superior aos 368mm exigidos, o que garante maior projecao sonora) e a ausencia no catalogo de jargoes de manufatura hiper-especificos (corpo hidroconformado, guias em poliacetal, parafusos de fenda cruzada). Tais divergencias nao comprometem a qualidade profissional do instrumento. O valor balizado na fonte (20990.00 reais) gera expressiva economia frente ao teto de 27366.57 reais.</t>
  </si>
  <si>
    <t>Violacao ao Art. 18, Art. 30, paragrafo 1o, I e Art. 37, II da Lei 14.133/21. O descritivo do edital apresenta excesso de especificacao tecnica e processos de manufatura exclusivos (como 'corpo hidroconformado', 'parafuso de fenda cruzada em aco inox', 'guia de pisto em poliacetal' e a citacao direta e nominal do modelo 'Select Tocatta'), o que direciona o certame e frustra o carater competitivo. Exigir componentes internos de montagem tao especificos e nominais nao se justifica tecnicamente para a performance musical exigida. Requer-se a flexibilizacao do edital para a aceitacao de tubas profissionais equivalentes em Eb.</t>
  </si>
  <si>
    <t>Instrumento Musical - Percursão Instrumento Musical - Percursão Tipo: Triângulo, Material: Aço Cromado, Componentes: Batedor E Corda, Tamanho: 25CM, Características Adicionais: Batedor Com Cabo Revestido</t>
  </si>
  <si>
    <t>Pirapetinga/MG</t>
  </si>
  <si>
    <t>985021_900042026</t>
  </si>
  <si>
    <t>A descricao do objeto solicitada encontra-se ausente ou invalida (nan), impossibilitando a identificacao do equipamento musical ou de audio desejado e, consequentemente, a busca por equivalencia nas fontes fornecidas.</t>
  </si>
  <si>
    <t>Violacao ao Art. 18 da Lei 14.133/21. A falta de clareza e a ausencia absoluta de descricao do objeto impedem a identificacao da necessidade da administracao publica e a formulacao de proposta, devendo o item ser retificado ou anulado.</t>
  </si>
  <si>
    <t>Peças E Acessórios Instrumento Musical Peças E Acessórios Instrumento Musical Tipo: Case/Estojo, Aplicação: Caixa De Guerra Profissional, Características Adicionais 1: Dimensões Externas: 17 C X 17 L X 15,5-17,5 A</t>
  </si>
  <si>
    <t>Bags Caixas tenor, aro duplo (Quasar Half Shell) Tecido Nylon 600, Forro TNT 80, isomanta 18mm e Zíper 8.</t>
  </si>
  <si>
    <t>Botucatu/SP</t>
  </si>
  <si>
    <t>986249_904322025</t>
  </si>
  <si>
    <t>Bags Caixas tenor, aro duplo (Quasar Half Shell)</t>
  </si>
  <si>
    <t>Apos analise das fontes, nao foi encontrado nenhum produto na categoria de bags, capas ou estojos especificos para caixas tenor, caixas de bateria ou instrumentos de percussao marcial (como as do tipo half shell). Os modelos de bags e capas disponiveis no catalogo destinam-se exclusivamente a pratos, baquetas, violoes, teclados, acordeons, violoncelos e caixas acusticas (PA), nao atendendo as dimensoes e finalidade exigidas pelo edital.</t>
  </si>
  <si>
    <t>Violacao ao Art. 18, Art. 30, paragrafo 1o, I e Art. 41, I da Lei 14.133/21. O catalogo referencial nao dispoe de equipamento na categoria solicitada, impossibilitando o atendimento do item. Adicionalmente, a citacao expressa do modelo 'Quasar Half Shell' no descritivo do acessorio, atrelada a especificacoes estritas de costura e material (Nylon 600, TNT 80, isomanta 18mm), configura claro direcionamento ilicito de marca e padrao de fabricante, frustrando o carater competitivo da licitacao. O item deve ser impugnado e retificado.</t>
  </si>
  <si>
    <t>Batuta Maestro 35cm madeira Tamanho: 35 cm Modelo: Profissional Material da batuta: Fibra de vidro Apoio de mão, Resina colorida, Cor Apoio de Mão: Preto Peso: 15 gramas</t>
  </si>
  <si>
    <t>Batuta Maestro</t>
  </si>
  <si>
    <t>Apos analise criteriosa das fontes e catalogos fornecidos, nao foi encontrado nenhum produto na categoria de batutas para regencia. Os unicos itens que mencionam o termo referem-se a estantes de partitura com porta-batuta integrado (como as estantes de maestro da marca Saty), o que nao atende a natureza e funcionalidade do objeto (batuta) solicitado.</t>
  </si>
  <si>
    <t>Violacao ao Art. 18 da Lei 14.133/21. O catalogo referencial nao dispoe de equipamento na categoria solicitada (batuta de regencia), impossibilitando o atendimento do item e a formulacao de proposta comercial valida para este objeto com base nas fontes apresentadas.</t>
  </si>
  <si>
    <t>Pares de Maçaneta para bumbos “BF MB1”. Ponta de feltro endurecido 32x25mm. Maçaneta indicada para bumbos marciais de 14" e 16". Comprimento 355mm. Diâmetro 20mmL 14" D. 0,792"</t>
  </si>
  <si>
    <t>BF MB1</t>
  </si>
  <si>
    <t>O modelo LIVERPOOL BF MB1 corresponde exatamente ao produto nominalmente solicitado pelo edital. Trata-se de uma macaneta especifica para bumbos marciais (fanfarra) com cabeca de feltro de alta densidade e cabo de aluminio. As ressalvas recaem sobre a unidade de fornecimento e o orcamento estipulado: o edital solicita o equipamento em 'pares' por um teto de 19.60 reais, enquanto o modelo original BF MB1 e comercializado por unidade e possui valor balizado de 118.50 reais na fonte.</t>
  </si>
  <si>
    <t>Violacao ao Art. 18 e Art. 41, I da Lei 14.133/21. O edital cita nominalmente o modelo exclusivo 'BF MB1' e copia caracteristicas de catalogo sem a expressao 'ou equivalente', configurando claro direcionamento de marca (Liverpool). Alem disso, ha um erro material grave no planejamento orcamentario: o valor de referencia de 19.60 reais para um par deste equipamento de marcha e manifestamente inexequivel e defasado, visto que uma unica unidade custa 118.50 reais. A manutencao deste preco inviabilizara a licitacao. Requer-se a retificacao do edital para adequacao dos valores e exclusao da marca.</t>
  </si>
  <si>
    <t>Pares de Maçaneta para bumbos “BF MB2”. Ponta de feltro endurecido 38x32mm. Maçaneta indicada para bumbos marciais de 16" e 18". Comprimento 355mm. Diâmetro 20mmL 14" D. 0,792"</t>
  </si>
  <si>
    <t>BF MB2</t>
  </si>
  <si>
    <t>O modelo LIVERPOOL BF MB2 corresponde exatamente ao produto nominalmente solicitado pelo edital. Trata-se de uma macaneta especifica para bumbos marciais (fanfarra) com cabeca de feltro de alta densidade e cabo de aluminio. As ressalvas recaem sobre a unidade de fornecimento, a ligeira divergencia de comprimento (375mm na fonte contra 355mm no edital) e o orcamento estipulado: o edital solicita o equipamento em 'pares' por um teto de 19.60 reais, enquanto o modelo original BF MB2 possui valor balizado de 146.06 reais na fonte.</t>
  </si>
  <si>
    <t>Violacao ao Art. 18 e Art. 41, I da Lei 14.133/21. O edital cita nominalmente o modelo exclusivo 'BF MB2' e copia caracteristicas de catalogo sem a expressao 'ou equivalente', configurando claro direcionamento de marca (Liverpool). Alem disso, ha um erro material grave no planejamento orcamentario: o valor de referencia de 19.60 reais para um par deste equipamento de marcha e manifestamente inexequivel e defasado, visto que o valor balizado e de 146.06 reais. A manutencao deste preco inviabilizara a licitacao. Requer-se a retificacao do edital para adequacao dos valores e exclusao da indicacao de marca.</t>
  </si>
  <si>
    <t>Pares de Maçaneta para bumbos “BF MB3”. Ponta de feltro endurecido 44x35mm. Maçaneta indicada para bumbos marciais de 20" e 22". Comprimento 355mm. Diâmetro 20mmL 14" D. 0,792"</t>
  </si>
  <si>
    <t>BF MB3</t>
  </si>
  <si>
    <t>O modelo LIVERPOOL BF MB3 corresponde exatamente ao produto nominalmente solicitado pelo edital. Trata-se de uma macaneta especifica para bumbos marciais (fanfarra) com cabeca de feltro de alta densidade e cabo de aluminio. As ressalvas recaem sobre a unidade de fornecimento, a ligeira divergencia de comprimento (380mm na fonte contra 355mm no edital) e o orcamento estipulado: o edital solicita o equipamento em 'pares' por um teto de 19.60 reais, enquanto o modelo original BF MB3 possui valor balizado de 159.51 reais na fonte.</t>
  </si>
  <si>
    <t>Violacao ao Art. 18 e Art. 41, I da Lei 14.133/21. O edital cita nominalmente o modelo exclusivo 'BF MB3' e copia caracteristicas de catalogo sem a expressao 'ou equivalente', configurando claro direcionamento de marca (Liverpool). Alem disso, ha um erro material grave no planejamento orcamentario: o valor de referencia de 19.60 reais para um par deste equipamento de marcha e manifestamente inexequivel e defasado, visto que o valor balizado e de 159.51 reais. A manutencao deste preco inviabilizara a licitacao. Requer-se a retificacao do edital para adequacao dos valores e exclusao da indicacao de marca.</t>
  </si>
  <si>
    <t>Pares de Maçaneta para bumbos “BF MB4”. Ponta de feltro endurecido 51x38mm. Maçaneta indicada para bumbos marciais de 24" e 26". Comprimento 355mm. Diâmetro 20mmL 14" D. 0,792"</t>
  </si>
  <si>
    <t>BF MB4</t>
  </si>
  <si>
    <t>O modelo LIVERPOOL BF MB4 corresponde exatamente ao produto nominalmente solicitado pelo edital. Trata-se de uma macaneta especifica para bumbos marciais (fanfarra) com cabeca de feltro de alta densidade e cabo de aluminio. As ressalvas recaem sobre a unidade de fornecimento, a divergencia de comprimento (385mm na fonte contra 355mm no edital) e o orcamento estipulado: o edital solicita o equipamento em 'pares' por um teto de 19.60 reais, enquanto o modelo original BF MB4 possui valor balizado de 220.01 reais na fonte.</t>
  </si>
  <si>
    <t>Violacao ao Art. 18 e Art. 41, I da Lei 14.133/21. O edital cita nominalmente o modelo exclusivo 'BF MB4' e copia caracteristicas de catalogo sem a expressao 'ou equivalente', configurando claro direcionamento de marca (Liverpool). Alem disso, ha um erro material grave no planejamento orcamentario: o valor de referencia de 19.60 reais para um par deste equipamento de marcha e manifestamente inexequivel e defasado, visto que o valor balizado e de 220.01 reais. A manutencao deste preco inviabilizara a licitacao. Requer-se a retificacao do edital para adequacao dos valores e exclusao da indicacao de marca.</t>
  </si>
  <si>
    <t>Pares de Maçaneta para bumbos “BF MB5”. Ponta de feltro endurecido 57x45mm. Maçaneta indicada para bumbos marciais de 26" ou maiores. Comprimento 355mm. Diâmetro 20mmL 14" D. 0,792"</t>
  </si>
  <si>
    <t>BF MB5</t>
  </si>
  <si>
    <t>O modelo LIVERPOOL BF MB5 corresponde exatamente ao produto nominalmente solicitado pelo edital. Trata-se de uma macaneta especifica para bumbos marciais (fanfarra) com cabeca de feltro de alta densidade e cabo de aluminio. As ressalvas recaem sobre a unidade de fornecimento, a divergencia de comprimento (390mm na fonte contra 355mm no edital) e o orcamento estipulado: o edital solicita o equipamento em 'pares' por um teto de 19.60 reais, enquanto o modelo original BF MB5 possui valor balizado de 253.63 reais na fonte.</t>
  </si>
  <si>
    <t>Violacao ao Art. 18 e Art. 41, I da Lei 14.133/21. O edital cita nominalmente o modelo exclusivo 'BF MB5' e copia caracteristicas de catalogo sem a expressao 'ou equivalente', configurando claro direcionamento de marca (Liverpool). Alem disso, ha um erro material grave no planejamento orcamentario: o valor de referencia de 19.60 reais para um par deste equipamento de marcha e manifestamente inexequivel e defasado, visto que o valor balizado e de 253.63 reais. A manutencao deste preco inviabilizara a licitacao. Requer-se a retificacao do edital para adequacao dos valores e exclusao da indicacao de marca.</t>
  </si>
  <si>
    <t>Pares de Baquetas para tenors “BF TENNY”, com ponta de nylon. Baqueta com cabo em madeira Marfim e cabeça em nylon. Comprimento 380mm. Diâmetro 13,5mm L 15" D. 0,511"</t>
  </si>
  <si>
    <t>BF TENNY</t>
  </si>
  <si>
    <t>O modelo LIVERPOOL BF TENNY corresponde exatamente ao produto nominalmente solicitado pelo edital. Trata-se de uma baqueta/macaneta especifica para tenors (quadriton/quintoton) com cabo em madeira Marfim, ponta de nylon em formato de disco e 380mm de comprimento. A ressalva recai sobre o orcamento estipulado: o edital solicita o equipamento por um teto de 11.20 reais o par, enquanto o modelo original possui valor balizado de 64.39 reais na fonte.</t>
  </si>
  <si>
    <t>Violacao ao Art. 18 e Art. 41, I da Lei 14.133/21. O edital cita nominalmente o modelo exclusivo 'BF TENNY' e copia caracteristicas de catalogo sem a expressao 'ou equivalente', configurando claro direcionamento de marca (Liverpool). Alem disso, ha um erro material grave no planejamento orcamentario: o valor de referencia de 11.20 reais para um par deste equipamento e manifestamente inexequivel e defasado, visto que o valor balizado e de 64.39 reais. A manutencao deste preco inviabilizara a licitacao. Requer-se a retificacao do edital para adequacao dos valores e exclusao da indicacao de marca.</t>
  </si>
  <si>
    <t>Pares de Baquetas para tenors “BF TENWOOD”, Hickory. Baqueta para tenor, cabo e ponta em madeira American Hickory. Utilizada para estudo e prática. Comprimento 415mm. Diâmetro 17,5mmL 16 3/8" D. .669</t>
  </si>
  <si>
    <t>BF TENWOOD</t>
  </si>
  <si>
    <t>O modelo LIVERPOOL BF TENWOOD corresponde exatamente ao produto nominalmente solicitado pelo edital. Trata-se de uma baqueta especifica para tenor drums (quadriton/quintoton) construida em peca unica de American Hickory com ponta de madeira oval. As ressalvas recaem sobre a divergencia nas dimensoes (o catalogo aponta 380mm de comprimento, enquanto o edital exige 415mm e diametro de 17.5mm, evidenciando possivel mistura de especificacoes) e o orcamento estipulado: o edital solicita o equipamento em 'pares' por um teto de 11.20 reais, enquanto o modelo original BF TENWOOD possui valor balizado de 67.42 reais na fonte.</t>
  </si>
  <si>
    <t>Violacao ao Art. 18 e Art. 41, I da Lei 14.133/21. O edital cita nominalmente o modelo exclusivo 'BF TENWOOD' sem a expressao 'ou equivalente', configurando claro direcionamento de marca (Liverpool). Alem disso, ha um erro material grave no planejamento orcamentario: o valor de referencia de 11.20 reais para um par de baquetas em American Hickory e manifestamente inexequivel e defasado, visto que o valor balizado na fonte e de 67.42 reais. A manutencao deste preco e exigencias restritivas inviabilizara a licitacao. Requer-se a retificacao do edital para adequacao dos valores orcamentarios e exclusao da indicacao de marca.</t>
  </si>
  <si>
    <t>Pares de Baquetas para caixa tenor (de alta tensão) “BFCAXT”, Hickory. Baqueta para Caixa de Alta Tensão – Hickory. Comprimento 405mm. Diâmetro 17mmL 16 15/16" D. 0,669"</t>
  </si>
  <si>
    <t>BFCAXT</t>
  </si>
  <si>
    <t>BF CXAT</t>
  </si>
  <si>
    <t>O modelo LIVERPOOL BF CXAT (provavel correcao do erro material 'BFCAXT' do edital, acronimo para Caixa de Alta Tensao) atende a finalidade como equivalente funcional e exato nominalmente. Trata-se de uma baqueta especifica para caixas marciais de alta tensao (marching snares) construida em American Hickory. As ressalvas recaem sobre as divergencias dimensionais, pois o modelo original possui 432mm de comprimento e 18mm de diametro (contra os 405mm e 17mm solicitados), e sobre o valor orcado: o edital estipula um teto de 11.20 reais para o par, enquanto o valor balizado e de 49.12 reais.</t>
  </si>
  <si>
    <t>Violacao ao Art. 18 e Art. 41, I da Lei 14.133/21. O edital cita o modelo exclusivo ('BFCAXT' / BF CXAT) e copia caracteristicas restritivas, configurando direcionamento de marca (Liverpool) sem apresentar a expressao 'ou equivalente'. Ademais, evidencia-se erro material grave no planejamento orcamentario: o valor de referencia de 11.20 reais para um par de baquetas em American Hickory e manifestamente inexequivel e defasado, visto que o preco balizado e de 49.12 reais. A manutencao destas falhas inviabiliza o certame. Requer-se a retificacao do edital para adequacao dos valores e exclusao da indicacao de marca.</t>
  </si>
  <si>
    <t>Pares de Baquetas para caixa (Slacatto) “BFSTHY”, Hickory. Baqueta para caixa de aro duplo e prática de estudos. Confeccionada na madeira American Hickory. Comprimento 430mm. Diâmetro 18mmL 17" D. 0,708"</t>
  </si>
  <si>
    <t>BFSTHY</t>
  </si>
  <si>
    <t>BF STHY</t>
  </si>
  <si>
    <t>O modelo LIVERPOOL BF STHY corresponde ao produto nominalmente solicitado pelo edital. Trata-se de uma baqueta especifica para efeitos de staccato (erroneamente grafado como 'Slacatto' no edital) construida em American Hickory. As ressalvas recaem sobre a divergencia nas dimensoes (o catalogo aponta 410mm de comprimento, enquanto o edital exige 430mm e diametro de 18mm, sugerindo uma mistura de especificacoes com modelos de alta tensao) e o orcamento estipulado: o edital solicita o equipamento por um teto de 11.20 reais o par, enquanto o modelo original BF STHY possui valor balizado de 67.42 reais na fonte.</t>
  </si>
  <si>
    <t>Violacao ao Art. 18 e Art. 41, I da Lei 14.133/21. O edital cita nominalmente o modelo exclusivo 'BFSTHY' (BF STHY da Liverpool) e copia caracteristicas de catalogo sem a expressao 'ou equivalente', configurando claro direcionamento de marca. Alem disso, evidencia-se erro material grave no planejamento orcamentario: o valor de referencia de 11.20 reais para um par de baquetas em American Hickory e manifestamente inexequivel e defasado, visto que o preco balizado e de 67.42 reais. A manutencao destas falhas inviabiliza o certame. Requer-se a retificacao do edital para adequacao dos valores e exclusao da indicacao de marca.</t>
  </si>
  <si>
    <t>Kits Limpeza para instrumentos de pistos. O kit é composto por: 1 escova cônica com cerdas de nylon: para limpeza interna do bocal e da camisa de pistos; 1 escova flexível com nylon e algodão nas pontas: para secar e limpar internamente os tubos, as curvas e as bombas; 1 flanela de algodão: para limpeza externa do instrumento; 1 lubrificante Grease Oi; graxa para os encaixes das curvas e bombas; 1 lubrificante Valve Oil, para lubrificação dos pistos e válvulas.</t>
  </si>
  <si>
    <t>O modelo SMART SM-055 atende a finalidade do edital como equivalente funcional. Trata-se de um kit de manutencao e limpeza especifico para instrumentos de pisto (trompetes), contendo escova flexivel (tipo cobra) para tubulacao, escova conica para pistos e bocal, alem de oleo lubrificante sintetico de baixa viscosidade. As ressalvas recaem sobre a substituicao da flanela de algodao por um pano de microfibra (material moderno e superior para higienizacao) e a ausencia de mencao explicita a graxa (grease) para pompas no catalogo, constando apenas o oleo para pistos. Tais divergencias sao acessorias e nao comprometem a rotina de higienizacao do instrumento. O valor balizado (59.90 reais) atende ao teto orcamentario de 77.00 reais.</t>
  </si>
  <si>
    <t>Violacao ao Art. 18 e Art. 41, I, da Lei 14.133/21. O edital apresenta excesso de especificacao ao exigir materiais exatos e defasados (como 'flanela de algodao' e 'algodao nas pontas'), restringindo de forma desnecessaria a aceitacao de kits modernos que utilizam microfibra. Requer-se a flexibilizacao do descritivo para aceitar kits de limpeza funcionalmente equivalentes para instrumentos de pisto.</t>
  </si>
  <si>
    <t>Kits Limpeza para Trombones de vara. O kit é composto por: 1 escova cônica com cerdas de nylon, para limpeza interna do bocal; 1 escova dupla flexível com nylon e algodão nas pontas, para secar e limpar internamente; 1 flanela de algodão, para limpeza externa do instrumento; 1 lubrificante Grease Oil, para as voltas de afinação; 1 lubrificante Slide Cream, para lubrificação da vara</t>
  </si>
  <si>
    <t>Kits Limpeza para Trombones de vara</t>
  </si>
  <si>
    <t>Apos busca exata, por equivalencia funcional e por categoria, nao foi encontrado kit de limpeza especifico para trombones de vara nas fontes fornecidas. O catalogo possui apenas kits de manutencao para trompetes (SM-055) e saxofones (SM-070). Tais produtos nao atendem aos requisitos criticos do edital, pois carecem do lubrificante especifico e essencial para a mecanica de vara (Slide Cream) e possuem escovas flexiveis com dimensoes incompativeis com a longa tubulacao do trombone. Sendo os itens divergentes e ineficazes para a finalidade, o status e Nao Atende.</t>
  </si>
  <si>
    <t>Violacao ao Art. 18 da Lei 14.133/21. O catalogo referencial nao dispoe de equipamento na categoria solicitada (kit de manutencao para trombones de vara), impossibilitando o atendimento funcional do objeto e a formulacao de proposta comercial valida com base nas fontes apresentadas.</t>
  </si>
  <si>
    <t>Kits Limpeza para instrumentos de madeira. Kit de escovas para Clarinete: 1 Lubrificante Cork Grease para cortiças; 1 Lubrificante Key Oil, para chaves externas e parafuso</t>
  </si>
  <si>
    <t>Kits Limpeza para instrumentos de madeira</t>
  </si>
  <si>
    <t>O modelo SMART SM-070 atende a finalidade como equivalente funcional. O edital solicita um kit de limpeza para clarinete contendo escovas, graxa de cortica (Cork Grease) e oleo para chaves (Key Oil). O produto do catalogo e destinado a saxofones, porem, por ambos pertencerem a mesma familia estrutural e mecanica (instrumentos de sopro de madeira com chaves e encaixes de cortica), o kit fornece exatamente os itens criticos exigidos (escovas, graxa de cortica para vedacao/lubrificacao e oleo sintetico para o mecanismo de chaves). Atende perfeitamente as necessidades de higienizacao do clarinete. O valor de 59.90 reais respeita o teto orcamentario de 85.40 reais.</t>
  </si>
  <si>
    <t>Recomenda-se a ampliacao do descritivo para aceitar kits de limpeza e lubrificacao funcionalmente equivalentes para instrumentos de sopro (madeiras) que contenham os mesmos componentes exigidos, em observancia ao Art. 18 da Lei 14.133/21.</t>
  </si>
  <si>
    <t>Caixa de óleo lubrificante de pistos. Óleo mineral à base de petróleo. Óleo lubrificante líquido. Embalagem com 30ml. Óleo bem consistente “fino”.</t>
  </si>
  <si>
    <t>Apos busca exata, por equivalencia funcional e por categoria, nao foi encontrado oleo lubrificante especifico para pistos comercializado de forma avulsa nas fontes fornecidas. O catalogo dispoe apenas de um kit de limpeza e manutencao (SMART SM-055) que inclui um frasco de oleo sintetico, o que diverge da exigencia de um fornecimento dedicado de oleo mineral de 30ml, impossibilitando o atendimento do objeto.</t>
  </si>
  <si>
    <t>Violacao ao Art. 18 da Lei 14.133/21. O catalogo referencial nao dispoe de item na categoria solicitada (oleo lubrificante avulso para pistos), impossibilitando o atendimento do objeto e a formulacao de proposta comercial valida com base nas fontes apresentadas.</t>
  </si>
  <si>
    <t>Caixa de Tubo de Trombone com 4 unidades. Feita a partir de uma mistura de óleos vegetais e de petróleo, incolor, inodoro, peso total aprox. 40g</t>
  </si>
  <si>
    <t>Apos busca exata, por equivalencia funcional e por categoria, nao foi encontrado lubrificante especifico para tubo/vara de trombone nas fontes fornecidas. O catalogo dispoe apenas de kits de manutencao que incluem pequenos frascos de oleo, o que diverge da exigencia de um fornecimento dedicado de uma caixa com 4 unidades de lubrificante hibrido (vegetal/petroleo), impossibilitando o atendimento do objeto.</t>
  </si>
  <si>
    <t>Violacao ao Art. 18 e Art. 41, I da Lei 14.133/21. O catalogo referencial nao dispoe de item na categoria solicitada, impossibilitando a formulacao de proposta comercial valida. Adicionalmente, o nivel de detalhamento da composicao quimica exigida (mistura especifica de oleos vegetais e de petroleo, incolor e inodoro) sem justificativa tecnica clara configura especificacao excessiva e restritiva, ferindo o carater competitivo do certame.</t>
  </si>
  <si>
    <t>Caixas de Palhetas Sax Alto Vand Jazz 2.5 c/10un. Palheta para sax Alto Vandoren ZZ JAZZ. Material: Cana Espessura da Ponta: 0,10 mm</t>
  </si>
  <si>
    <t>Vandoren ZZ JAZZ 2.5</t>
  </si>
  <si>
    <t>O catalogo nao possui a linha 'ZZ', porem oferece a linha 'Java' da mesma fabricante (Vandoren), que atende a finalidade como equivalente funcional exato (ambas sao palhetas premium de cana natural desenvolvidas para jazz e musica popular, na mesma numeracao 2.5 para Sax Alto). A principal ressalva recai sobre o orcamento estipulado: o edital solicita uma 'Caixa c/ 10 un' por um teto de 46.69 reais, enquanto o valor balizado da caixa na fonte e de 298.02 reais (equivalente a aprox. 29.80 reais por palheta avulsa, o que sugere que o edital orcou a unidade em vez da caixa).</t>
  </si>
  <si>
    <t>Violacao ao Art. 18 e Art. 41, I da Lei 14.133/21. O edital aponta a marca e linha exclusivas 'Vandoren ZZ JAZZ' sem a expressao 'ou equivalente', configurando direcionamento. Ademais, ha um erro material grave na formacao do preco de referencia: o valor de 46.69 reais para uma caixa com 10 palhetas Vandoren e manifestamente inexequivel, correspondendo ao preco de mercado de quase uma unica unidade. A manutencao deste valor inviabiliza a formulacao de propostas. Requer-se a retificacao do edital para adequacao orcamentaria e exclusao do direcionamento de marca.</t>
  </si>
  <si>
    <t>Caixas de Palhetas Sax Alto Vand Java 2.5 com 10 unidades. Java 2,5 Dureza: 2,5. Material: Cana. Espessura da Ponta: 0,11mm. Espessura do Talão: 3,25mm</t>
  </si>
  <si>
    <t>Vand Java 2.5</t>
  </si>
  <si>
    <t>O produto do catalogo corresponde exatamente ao modelo nominalmente solicitado pelo edital. Trata-se da caixa com 10 unidades de palhetas Vandoren da linha Java, numeracao 2.5, para Saxofone Alto, fabricada em cana natural. A ressalva recai exclusivamente sobre o planejamento orcamentario: o edital estipula o fornecimento da caixa com 10 unidades por um teto de 46.69 reais, enquanto o valor balizado da caixa na fonte e de 298.02 reais (o que equivale a cerca de 29.80 reais por palheta avulsa, sugerindo que a pesquisa de precos do orgao orcou a unidade em vez da caixa fechada).</t>
  </si>
  <si>
    <t>Violacao ao Art. 18 e Art. 41, I da Lei 14.133/21. O edital cita a marca e linha exclusivas 'Vand Java' sem a expressao 'ou equivalente', configurando direcionamento. Alem disso, evidencia-se erro material grave na formacao do preco de referencia: o valor de 46.69 reais para uma caixa com 10 palhetas Vandoren e manifestamente inexequivel, pois corresponde a fracao do valor real do produto. A manutencao deste teto orcamentario inviabiliza o carater competitivo do certame. Requer-se a retificacao do edital para adequacao dos valores e exclusao da indicacao restritiva de marca.</t>
  </si>
  <si>
    <t>Caixas de Palhetas Clarinete V16 n.25 com 10 unidades. As palhetas V12 para clarinete em Sib são fabricadas a partir de tubos de cana de diâmetro equivalente às canas. Tem uma extremidade mais grossa, dureza 2.5, espessura 0.11</t>
  </si>
  <si>
    <t>V16 / V12 2.5</t>
  </si>
  <si>
    <t>Palheta para Clarinete Sib (Bb) No 2,5 Tradicional CX C/10</t>
  </si>
  <si>
    <t>O catalogo oferece a caixa com 10 palhetas Vandoren da linha Traditional numero 2.5 para Clarinete Sib, que atende a finalidade como equivalente funcional direto. Nota-se que o descritivo do edital apresenta contradicao interna, citando a linha 'V16' no titulo e a linha 'V12' na descricao. A ressalva principal recai sobre o orcamento estipulado: o edital solicita o fornecimento da caixa com 10 unidades por um teto de 46.69 reais, enquanto o valor balizado da caixa na fonte e de 234.00 reais. Este cenario sugere que a pesquisa de precos do orgao cotou erroneamente o valor da unidade em vez da caixa fechada.</t>
  </si>
  <si>
    <t>Violacao ao Art. 18 e Art. 41, I da Lei 14.133/21. O edital e contraditorio em sua descricao (mistura os modelos V16 e V12) e cita linhas exclusivas da fabricante Vandoren sem a expressao 'ou equivalente', configurando direcionamento ilicito. Alem disso, ha erro material grave na formacao do preco de referencia: o valor de 46.69 reais para uma caixa com 10 palhetas e manifestamente inexequivel. A manutencao deste teto orcamentario e das restricoes tecnicas inviabiliza o carater competitivo do certame. Requer-se a retificacao do edital para adequacao dos valores, correcao do texto e exclusao do direcionamento de marca.</t>
  </si>
  <si>
    <t>Caixa de Palheta Clarinete V16 n.30 com 10 unidades. Palhetas V12 para clarinete em Sib são fabricadas a partir de tubos de cana de diâmetro equivalente às canas. Tem uma extremidade mais grossa, dureza 2.5, espessura 0.11</t>
  </si>
  <si>
    <t>V16 / V12 3.0 / 2.5</t>
  </si>
  <si>
    <t>Palheta para Clarinete Sib (Bb) No 3 Tradicional CX C/10</t>
  </si>
  <si>
    <t>O catalogo oferece a caixa com 10 palhetas Vandoren da linha Traditional numero 3.0 para Clarinete Sib, que atende a finalidade como equivalente funcional direto. Nota-se que o descritivo do edital apresenta contradicao interna, citando a linha 'V16' e numeracao 'n.30' no titulo, mas a linha 'V12' e 'dureza 2.5' na descricao. A ressalva principal recai sobre o orcamento estipulado: o edital solicita o fornecimento da caixa com 10 unidades por um teto de 46.69 reais, enquanto o valor balizado da caixa fechada na fonte e de 234.00 reais. Este cenario sugere que a pesquisa de precos do orgao cotou erroneamente o valor de uma ou duas unidades avulsas em vez da caixa com 10.</t>
  </si>
  <si>
    <t>Violacao ao Art. 18 e Art. 41, I da Lei 14.133/21. O edital e contraditorio em sua descricao (mistura os modelos V16 e V12 e durezas diferentes) e cita linhas exclusivas da fabricante Vandoren sem a expressao 'ou equivalente', configurando direcionamento ilicito. Alem disso, ha erro material grave na formacao do preco de referencia: o valor de 46.69 reais para uma caixa com 10 palhetas e manifestamente inexequivel. A manutencao deste teto orcamentario e das restricoes tecnicas inviabiliza o carater competitivo do certame. Requer-se a retificacao do edital para adequacao dos valores, correcao do texto e exclusao do direcionamento de marca.</t>
  </si>
  <si>
    <t>Peças e acessórios instrumento musical Peças E Acessórios Instrumento Musical Tipo: Pele, Aplicação: Bombo, Características Adicionais: Hidráulica 22, Filme Duplo</t>
  </si>
  <si>
    <t>Pele resposta para bombo 22’: 2camadas de filme fino de 7mil mylar; porosa duplo filme; medida: 22 polegadas; pele com dupla camada; referência em peror porosa 22” bd- 1122-01, similar, equivalente ou de qualidade superior.</t>
  </si>
  <si>
    <t>Emperor Porosa 22 BD-1122-01</t>
  </si>
  <si>
    <t>11069</t>
  </si>
  <si>
    <t>O modelo LUEN 11069 atende a finalidade como equivalente funcional para pele de 22 polegadas porosa de duplo filme. O edital apresenta contradicao ao solicitar uma 'pele resposta' (que tradicionalmente e de filme simples e liso) em conjunto com especificacoes e modelo de referencia (Emperor Porosa) de uma pele batedeira de duplo filme. O modelo sugerido no catalogo e uma pele batedeira de duplo filme porosa (Coated). A ressalva tecnica recai sobre a composicao da espessura: o edital exige duas camadas de 7mil (total 14mil), enquanto o modelo Luen possui camadas de 7mil + 5mil (total 12mil), divergencia acessoria que mantem a durabilidade, ataque e som grave controlado exigidos. O valor balizado de 153.04 reais atende ao teto estipulado.</t>
  </si>
  <si>
    <t>Violacao ao Art. 18 da Lei 14.133/21. O descritivo do objeto apresenta falta de clareza e contradicao tecnica grave ao intitular o item como 'Pele resposta' (normalmente usada na frente do bumbo, sem porosidade), mas exigir especificacoes e citar modelo de referencia tipicos de uma 'Pele batedeira' (duplo filme porosa). A expressao 'em peror' configura erro material em alusao ao modelo Emperor da marca Remo. Recomenda-se a retificacao do texto para sanar a contradicao e garantir a correta compreensao do objeto pelos licitantes.</t>
  </si>
  <si>
    <t>INSTRUMENTO MUSICAL TIPO:VIOLA DE ARCO TAMANHO: 40 CARACTERISTICAS: COMPLETO COM FUNDO EM ACERO OU ABETO MACIÇO, ACABAMENTO EM VERNIZ BRILHANTE, ACESSÓRIOS EM ÉBANO, ARCO OCTAGONAL DE CRINA ANIMAL.</t>
  </si>
  <si>
    <t>O modelo ALAN AL 1310 4/4 atende a finalidade na categoria de viola de arco tamanho 4/4 (aprox. 40cm). As ressalvas recaem sobre o material estrutural e acessorios: o edital exige fundo em madeira macica e acessorios em ebano com arco octagonal, enquanto o modelo do catalogo e de construcao laminada (Spruce/Maple) com acessorios em Boxwood e arco padrao. Destaca-se que o teto orcamentario do edital (954.95 reais) e compativel apenas com instrumentos laminados de estudo, tornando inviavel o fornecimento de um instrumento macico com ebano neste valor.</t>
  </si>
  <si>
    <t>Violacao ao Art. 18 da Lei 14.133/21. O edital apresenta grave contradicao entre o rigor da especificacao tecnica (instrumento de madeira macica, acessorios em ebano e arco octagonal - caracteristicas de linha avancada/profissional) e o valor de referencia estipulado (954.95 reais), que reflete a realidade de mercado de instrumentos laminados para iniciantes. Esta falha no planejamento orcamentario configura especificacao inexequivel e restritiva, inviabilizando a competitividade. Requer-se a retificacao do descritivo para alinha-lo a realidade de preco da categoria.</t>
  </si>
  <si>
    <t>Régua elétrica Régua Elétrica Quantidade Tomadas Saída: 8 (2pT), Tensão Alimentação: 220V, Corrente Nominal: 10A</t>
  </si>
  <si>
    <t>Pele para bombo ataque 22” (emperor clear) – pele transparente de filme duplo weatherking com sonoridade mais brilhante, feitas com dois filmes flutuantes (free floating), consistente e aberta; filme duplo 7mm = 7mm mylar.</t>
  </si>
  <si>
    <t>Emperor Clear 22</t>
  </si>
  <si>
    <t>11027</t>
  </si>
  <si>
    <t>O modelo LUEN 11027 atende a finalidade do edital como equivalente funcional. Trata-se de uma pele batedeira de bumbo de 22 polegadas, construida em filme duplo transparente (Clear double-ply), ideal para ataque pesado e controle sonoro. As ressalvas recaem sobre a espessura das camadas (o edital exige duas de 7mil, totalizando 14mil, enquanto o modelo Luen possui 7mil + 5mil, divergencia acessoria que mantem a funcionalidade e durabilidade) e sobre o teto orcamentario: o edital estipula 117.60 reais, enquanto o valor balizado e de 127.56 reais na fonte.</t>
  </si>
  <si>
    <t>Violacao ao Art. 18 e Art. 41, I da Lei 14.133/21. O edital aponta referencias exclusivas de marca e linha (Emperor, Weatherking - pertencentes a fabricante Remo) sem utilizar a expressao 'ou equivalente', configurando direcionamento ilicito. Alem disso, ha defasagem no planejamento orcamentario, visto que o valor de 117.60 reais nao cobre o preco praticado pelo equivalente de mercado (127.56 reais). Requer-se a retificacao do edital para adequacao dos valores e exclusao das marcas restritivas.</t>
  </si>
  <si>
    <t>CST 300</t>
  </si>
  <si>
    <t>LME4512TMA</t>
  </si>
  <si>
    <t>Lexsen</t>
  </si>
  <si>
    <t>LPS-15A MP3</t>
  </si>
  <si>
    <t>CORDA VIOLINO TENSAO MEDIA</t>
  </si>
  <si>
    <t>Giannini </t>
  </si>
  <si>
    <t>Encordoamento Viola Giannini Canário Gesvbl</t>
  </si>
  <si>
    <t>SM-009LT</t>
  </si>
  <si>
    <t>Smart</t>
  </si>
  <si>
    <t>SVN-01</t>
  </si>
  <si>
    <t>VNMCA4</t>
  </si>
  <si>
    <t>flauta</t>
  </si>
  <si>
    <t>doce contratlto</t>
  </si>
  <si>
    <t>doce</t>
  </si>
  <si>
    <t>Mesa de Som X AIR - XR18</t>
  </si>
  <si>
    <t>MR-122 RUBI</t>
  </si>
  <si>
    <t>DUNLOP</t>
  </si>
  <si>
    <t>Palheta GUITARRA</t>
  </si>
  <si>
    <t>CG 100 OTTAWA</t>
  </si>
  <si>
    <t>AL 1410 S 3/4 (68203)</t>
  </si>
  <si>
    <t>AL 1210 4/4</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</si>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</sst>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6" x14ac:knownFonts="1">
    <font>
      <sz val="11"/>
      <color theme="1"/>
      <name val="Calibri"/>
      <family val="2"/>
      <scheme val="minor"/>
    </font>
    <font>
      <sz val="11"/>
      <color theme="1"/>
      <name val="Calibri"/>
      <family val="2"/>
      <scheme val="minor"/>
    </font>
    <font>
      <sz val="11"/>
      <color rgb="FF000000"/>
      <name val="Calibri"/>
      <family val="2"/>
    </font>
    <font>
      <sz val="9"/>
      <color theme="1"/>
      <name val="Microsoft Sans Serif"/>
      <family val="2"/>
    </font>
    <font>
      <sz val="11"/>
      <color rgb="FFEE0000"/>
      <name val="Calibri"/>
      <family val="2"/>
    </font>
    <font>
      <sz val="9"/>
      <color rgb="FFEE0000"/>
      <name val="Microsoft Sans Serif"/>
      <family val="2"/>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64" fontId="0" fillId="0" borderId="0" xfId="0" applyNumberFormat="1"/>
    <xf numFmtId="44" fontId="0" fillId="0" borderId="0" xfId="1" applyFon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44" fontId="2" fillId="0" borderId="2" xfId="1" applyFont="1" applyBorder="1" applyAlignment="1">
      <alignment horizontal="center" vertical="center" wrapText="1"/>
    </xf>
    <xf numFmtId="44" fontId="2" fillId="0" borderId="4" xfId="1" applyFont="1" applyBorder="1" applyAlignment="1">
      <alignment horizontal="center" vertical="center" wrapText="1"/>
    </xf>
    <xf numFmtId="44" fontId="2" fillId="0" borderId="5" xfId="1" applyFont="1" applyBorder="1" applyAlignment="1">
      <alignment horizontal="center" vertical="center" wrapText="1"/>
    </xf>
    <xf numFmtId="44" fontId="2" fillId="0" borderId="3" xfId="1" applyFont="1" applyBorder="1" applyAlignment="1">
      <alignment horizontal="center" vertical="center" wrapText="1"/>
    </xf>
    <xf numFmtId="44" fontId="4" fillId="0" borderId="4" xfId="1" applyFont="1" applyBorder="1" applyAlignment="1">
      <alignment horizontal="center" vertical="center" wrapText="1"/>
    </xf>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84"/>
  <sheetViews>
    <sheetView tabSelected="1" topLeftCell="A108" workbookViewId="0">
      <selection activeCell="C110" sqref="C110"/>
    </sheetView>
  </sheetViews>
  <sheetFormatPr defaultColWidth="5.5546875" defaultRowHeight="14.4" x14ac:dyDescent="0.3"/>
  <cols>
    <col min="3" max="3" width="19.77734375" customWidth="1"/>
    <col min="5" max="5" width="15.6640625" style="2" bestFit="1" customWidth="1"/>
    <col min="6" max="12" width="5.5546875" hidden="1" customWidth="1"/>
    <col min="13" max="13" width="16.77734375" bestFit="1" customWidth="1"/>
    <col min="14" max="15" width="11.109375" customWidth="1"/>
    <col min="16" max="16" width="12.88671875" bestFit="1" customWidth="1"/>
    <col min="17" max="18" width="17.21875" style="1" customWidth="1"/>
    <col min="19" max="19" width="22.109375" style="1" customWidth="1"/>
  </cols>
  <sheetData>
    <row r="1" spans="1:23" x14ac:dyDescent="0.3">
      <c r="A1" t="s">
        <v>0</v>
      </c>
      <c r="B1" t="s">
        <v>1</v>
      </c>
      <c r="C1" t="s">
        <v>2</v>
      </c>
      <c r="D1" t="s">
        <v>3</v>
      </c>
      <c r="E1" s="2" t="s">
        <v>4</v>
      </c>
      <c r="F1" t="s">
        <v>5</v>
      </c>
      <c r="G1" t="s">
        <v>6</v>
      </c>
      <c r="H1" t="s">
        <v>7</v>
      </c>
      <c r="I1" t="s">
        <v>8</v>
      </c>
      <c r="J1" t="s">
        <v>9</v>
      </c>
      <c r="K1" t="s">
        <v>10</v>
      </c>
      <c r="L1" t="s">
        <v>11</v>
      </c>
      <c r="M1" t="s">
        <v>12</v>
      </c>
      <c r="N1" t="s">
        <v>13</v>
      </c>
      <c r="O1" t="s">
        <v>14</v>
      </c>
      <c r="Q1" s="1" t="s">
        <v>15</v>
      </c>
      <c r="S1" s="1" t="s">
        <v>16</v>
      </c>
      <c r="T1" t="s">
        <v>17</v>
      </c>
      <c r="U1" t="s">
        <v>18</v>
      </c>
      <c r="V1" t="s">
        <v>19</v>
      </c>
      <c r="W1" t="s">
        <v>20</v>
      </c>
    </row>
    <row r="2" spans="1:23" hidden="1" x14ac:dyDescent="0.3">
      <c r="A2">
        <v>1</v>
      </c>
      <c r="B2" t="s">
        <v>21</v>
      </c>
      <c r="C2" t="s">
        <v>22</v>
      </c>
      <c r="D2">
        <v>25</v>
      </c>
      <c r="E2">
        <v>156</v>
      </c>
      <c r="F2">
        <v>3900</v>
      </c>
      <c r="G2" t="s">
        <v>23</v>
      </c>
      <c r="H2" t="s">
        <v>24</v>
      </c>
      <c r="I2" t="s">
        <v>25</v>
      </c>
      <c r="J2" t="s">
        <v>26</v>
      </c>
      <c r="K2" t="s">
        <v>27</v>
      </c>
      <c r="L2" t="s">
        <v>28</v>
      </c>
      <c r="M2" t="s">
        <v>29</v>
      </c>
      <c r="N2" t="s">
        <v>30</v>
      </c>
      <c r="O2">
        <v>106.24</v>
      </c>
      <c r="Q2">
        <v>159.36000000000001</v>
      </c>
      <c r="R2"/>
      <c r="S2">
        <v>3984</v>
      </c>
      <c r="T2">
        <v>53.12</v>
      </c>
      <c r="U2">
        <v>3984</v>
      </c>
      <c r="V2" t="s">
        <v>31</v>
      </c>
    </row>
    <row r="3" spans="1:23" hidden="1" x14ac:dyDescent="0.3">
      <c r="A3">
        <v>2</v>
      </c>
      <c r="B3" t="s">
        <v>32</v>
      </c>
      <c r="C3" t="s">
        <v>33</v>
      </c>
      <c r="D3">
        <v>6</v>
      </c>
      <c r="E3">
        <v>2478.54</v>
      </c>
      <c r="F3">
        <v>14871.24</v>
      </c>
      <c r="G3" t="s">
        <v>23</v>
      </c>
      <c r="H3" t="s">
        <v>24</v>
      </c>
      <c r="I3" t="s">
        <v>25</v>
      </c>
      <c r="J3" t="s">
        <v>26</v>
      </c>
      <c r="K3" t="s">
        <v>27</v>
      </c>
      <c r="L3" t="s">
        <v>28</v>
      </c>
      <c r="M3" t="s">
        <v>29</v>
      </c>
      <c r="N3" t="s">
        <v>34</v>
      </c>
      <c r="O3">
        <v>3115.86</v>
      </c>
      <c r="Q3">
        <v>4673.79</v>
      </c>
      <c r="R3"/>
      <c r="S3">
        <v>28042.74</v>
      </c>
      <c r="T3">
        <v>1557.93</v>
      </c>
      <c r="U3">
        <v>28042.74</v>
      </c>
      <c r="V3" t="s">
        <v>35</v>
      </c>
      <c r="W3" t="s">
        <v>36</v>
      </c>
    </row>
    <row r="4" spans="1:23" hidden="1" x14ac:dyDescent="0.3">
      <c r="A4">
        <v>3</v>
      </c>
      <c r="B4" t="s">
        <v>37</v>
      </c>
      <c r="C4" t="s">
        <v>38</v>
      </c>
      <c r="D4">
        <v>4</v>
      </c>
      <c r="E4">
        <v>2596.67</v>
      </c>
      <c r="F4">
        <v>10386.68</v>
      </c>
      <c r="G4" t="s">
        <v>23</v>
      </c>
      <c r="H4" t="s">
        <v>24</v>
      </c>
      <c r="I4" t="s">
        <v>25</v>
      </c>
      <c r="J4" t="s">
        <v>26</v>
      </c>
      <c r="K4" t="s">
        <v>39</v>
      </c>
      <c r="L4" t="s">
        <v>28</v>
      </c>
      <c r="M4" t="s">
        <v>40</v>
      </c>
      <c r="N4" t="s">
        <v>41</v>
      </c>
      <c r="O4">
        <v>1765.5</v>
      </c>
      <c r="Q4">
        <v>2648.25</v>
      </c>
      <c r="R4"/>
      <c r="S4">
        <v>10593</v>
      </c>
      <c r="T4">
        <v>882.75</v>
      </c>
      <c r="U4">
        <v>10593</v>
      </c>
      <c r="V4" t="s">
        <v>42</v>
      </c>
      <c r="W4" t="s">
        <v>43</v>
      </c>
    </row>
    <row r="5" spans="1:23" hidden="1" x14ac:dyDescent="0.3">
      <c r="A5">
        <v>5</v>
      </c>
      <c r="B5" t="s">
        <v>44</v>
      </c>
      <c r="C5" t="s">
        <v>45</v>
      </c>
      <c r="D5">
        <v>2</v>
      </c>
      <c r="E5">
        <v>1411.67</v>
      </c>
      <c r="F5">
        <v>2823.34</v>
      </c>
      <c r="G5" t="s">
        <v>23</v>
      </c>
      <c r="H5" t="s">
        <v>24</v>
      </c>
      <c r="I5" t="s">
        <v>25</v>
      </c>
      <c r="J5" t="s">
        <v>26</v>
      </c>
      <c r="K5" t="s">
        <v>27</v>
      </c>
      <c r="L5" t="s">
        <v>28</v>
      </c>
      <c r="M5" t="s">
        <v>46</v>
      </c>
      <c r="N5" t="s">
        <v>47</v>
      </c>
      <c r="O5">
        <v>1015.81</v>
      </c>
      <c r="Q5">
        <v>1523.71</v>
      </c>
      <c r="R5"/>
      <c r="S5">
        <v>3047.42</v>
      </c>
      <c r="T5">
        <v>507.9</v>
      </c>
      <c r="U5">
        <v>3047.42</v>
      </c>
      <c r="V5" t="s">
        <v>48</v>
      </c>
      <c r="W5" t="s">
        <v>49</v>
      </c>
    </row>
    <row r="6" spans="1:23" hidden="1" x14ac:dyDescent="0.3">
      <c r="A6">
        <v>6</v>
      </c>
      <c r="B6" t="s">
        <v>50</v>
      </c>
      <c r="C6" t="s">
        <v>51</v>
      </c>
      <c r="D6">
        <v>2</v>
      </c>
      <c r="E6">
        <v>1023.87</v>
      </c>
      <c r="F6">
        <v>2047.74</v>
      </c>
      <c r="G6" t="s">
        <v>23</v>
      </c>
      <c r="H6" t="s">
        <v>24</v>
      </c>
      <c r="I6" t="s">
        <v>25</v>
      </c>
      <c r="J6" t="s">
        <v>26</v>
      </c>
      <c r="K6" t="s">
        <v>27</v>
      </c>
      <c r="L6" t="s">
        <v>28</v>
      </c>
      <c r="M6" t="s">
        <v>52</v>
      </c>
      <c r="N6" t="s">
        <v>53</v>
      </c>
      <c r="O6">
        <v>660.74</v>
      </c>
      <c r="Q6">
        <v>991.11</v>
      </c>
      <c r="R6"/>
      <c r="S6">
        <v>1982.22</v>
      </c>
      <c r="T6">
        <v>330.37</v>
      </c>
      <c r="U6">
        <v>1982.22</v>
      </c>
      <c r="V6" t="s">
        <v>54</v>
      </c>
    </row>
    <row r="7" spans="1:23" hidden="1" x14ac:dyDescent="0.3">
      <c r="A7">
        <v>7</v>
      </c>
      <c r="B7" t="s">
        <v>21</v>
      </c>
      <c r="C7" t="s">
        <v>55</v>
      </c>
      <c r="D7">
        <v>28</v>
      </c>
      <c r="E7">
        <v>144.27000000000001</v>
      </c>
      <c r="F7">
        <v>4039.56</v>
      </c>
      <c r="G7" t="s">
        <v>23</v>
      </c>
      <c r="H7" t="s">
        <v>24</v>
      </c>
      <c r="I7" t="s">
        <v>25</v>
      </c>
      <c r="J7" t="s">
        <v>26</v>
      </c>
      <c r="K7" t="s">
        <v>27</v>
      </c>
      <c r="L7" t="s">
        <v>28</v>
      </c>
      <c r="M7" t="s">
        <v>56</v>
      </c>
      <c r="N7" t="s">
        <v>57</v>
      </c>
      <c r="O7">
        <v>96.72</v>
      </c>
      <c r="Q7">
        <v>145.08000000000001</v>
      </c>
      <c r="R7"/>
      <c r="S7">
        <v>4062.24</v>
      </c>
      <c r="T7">
        <v>48.36</v>
      </c>
      <c r="U7">
        <v>4062.24</v>
      </c>
      <c r="V7" t="s">
        <v>58</v>
      </c>
    </row>
    <row r="8" spans="1:23" hidden="1" x14ac:dyDescent="0.3">
      <c r="A8">
        <v>8</v>
      </c>
      <c r="B8" t="s">
        <v>59</v>
      </c>
      <c r="C8" t="s">
        <v>60</v>
      </c>
      <c r="D8">
        <v>10</v>
      </c>
      <c r="E8">
        <v>51.37</v>
      </c>
      <c r="F8">
        <v>513.70000000000005</v>
      </c>
      <c r="G8" t="s">
        <v>23</v>
      </c>
      <c r="H8" t="s">
        <v>24</v>
      </c>
      <c r="I8" t="s">
        <v>25</v>
      </c>
      <c r="J8" t="s">
        <v>26</v>
      </c>
      <c r="K8" t="s">
        <v>27</v>
      </c>
      <c r="L8" t="s">
        <v>28</v>
      </c>
      <c r="M8" t="s">
        <v>61</v>
      </c>
      <c r="N8" t="s">
        <v>62</v>
      </c>
      <c r="O8">
        <v>28.01</v>
      </c>
      <c r="Q8">
        <v>42.02</v>
      </c>
      <c r="R8"/>
      <c r="S8">
        <v>420.2</v>
      </c>
      <c r="T8">
        <v>14.01</v>
      </c>
      <c r="U8">
        <v>420.2</v>
      </c>
      <c r="V8" t="s">
        <v>63</v>
      </c>
    </row>
    <row r="9" spans="1:23" hidden="1" x14ac:dyDescent="0.3">
      <c r="A9">
        <v>9</v>
      </c>
      <c r="B9" t="s">
        <v>64</v>
      </c>
      <c r="C9" t="s">
        <v>65</v>
      </c>
      <c r="D9">
        <v>3</v>
      </c>
      <c r="E9">
        <v>3866.67</v>
      </c>
      <c r="F9">
        <v>11600.01</v>
      </c>
      <c r="G9" t="s">
        <v>23</v>
      </c>
      <c r="H9" t="s">
        <v>24</v>
      </c>
      <c r="I9" t="s">
        <v>25</v>
      </c>
      <c r="J9" t="s">
        <v>26</v>
      </c>
      <c r="K9" t="s">
        <v>27</v>
      </c>
      <c r="L9" t="s">
        <v>28</v>
      </c>
      <c r="M9" t="s">
        <v>40</v>
      </c>
      <c r="N9" t="s">
        <v>66</v>
      </c>
      <c r="O9">
        <v>2181.6</v>
      </c>
      <c r="Q9">
        <v>3272.4</v>
      </c>
      <c r="R9"/>
      <c r="S9">
        <v>9817.2000000000007</v>
      </c>
      <c r="T9">
        <v>1090.8</v>
      </c>
      <c r="U9">
        <v>9817.2000000000007</v>
      </c>
      <c r="V9" t="s">
        <v>67</v>
      </c>
      <c r="W9" t="s">
        <v>68</v>
      </c>
    </row>
    <row r="10" spans="1:23" hidden="1" x14ac:dyDescent="0.3">
      <c r="A10">
        <v>10</v>
      </c>
      <c r="B10" t="s">
        <v>69</v>
      </c>
      <c r="C10" t="s">
        <v>70</v>
      </c>
      <c r="D10">
        <v>35</v>
      </c>
      <c r="E10">
        <v>253</v>
      </c>
      <c r="F10">
        <v>8855</v>
      </c>
      <c r="G10" t="s">
        <v>23</v>
      </c>
      <c r="H10" t="s">
        <v>24</v>
      </c>
      <c r="I10" t="s">
        <v>25</v>
      </c>
      <c r="J10" t="s">
        <v>26</v>
      </c>
      <c r="K10" t="s">
        <v>27</v>
      </c>
      <c r="L10" t="s">
        <v>28</v>
      </c>
      <c r="M10" t="s">
        <v>29</v>
      </c>
      <c r="N10" t="s">
        <v>71</v>
      </c>
      <c r="O10">
        <v>92.59</v>
      </c>
      <c r="Q10">
        <v>138.88</v>
      </c>
      <c r="R10"/>
      <c r="S10">
        <v>4860.8</v>
      </c>
      <c r="T10">
        <v>46.29</v>
      </c>
      <c r="U10">
        <v>4860.8</v>
      </c>
      <c r="V10" t="s">
        <v>72</v>
      </c>
    </row>
    <row r="11" spans="1:23" hidden="1" x14ac:dyDescent="0.3">
      <c r="A11">
        <v>11</v>
      </c>
      <c r="B11" t="s">
        <v>69</v>
      </c>
      <c r="C11" t="s">
        <v>73</v>
      </c>
      <c r="D11">
        <v>35</v>
      </c>
      <c r="E11">
        <v>221</v>
      </c>
      <c r="F11">
        <v>7735</v>
      </c>
      <c r="G11" t="s">
        <v>23</v>
      </c>
      <c r="H11" t="s">
        <v>24</v>
      </c>
      <c r="I11" t="s">
        <v>25</v>
      </c>
      <c r="J11" t="s">
        <v>26</v>
      </c>
      <c r="K11" t="s">
        <v>27</v>
      </c>
      <c r="L11" t="s">
        <v>28</v>
      </c>
      <c r="M11" t="s">
        <v>29</v>
      </c>
      <c r="N11" t="s">
        <v>71</v>
      </c>
      <c r="O11">
        <v>92.59</v>
      </c>
      <c r="Q11">
        <v>138.88</v>
      </c>
      <c r="R11"/>
      <c r="S11">
        <v>4860.8</v>
      </c>
      <c r="T11">
        <v>46.29</v>
      </c>
      <c r="U11">
        <v>4860.8</v>
      </c>
      <c r="V11" t="s">
        <v>74</v>
      </c>
    </row>
    <row r="12" spans="1:23" hidden="1" x14ac:dyDescent="0.3">
      <c r="A12">
        <v>12</v>
      </c>
      <c r="B12" t="s">
        <v>75</v>
      </c>
      <c r="C12" t="s">
        <v>76</v>
      </c>
      <c r="D12">
        <v>73</v>
      </c>
      <c r="E12">
        <v>203</v>
      </c>
      <c r="F12">
        <v>14819</v>
      </c>
      <c r="G12" t="s">
        <v>23</v>
      </c>
      <c r="H12" t="s">
        <v>24</v>
      </c>
      <c r="I12" t="s">
        <v>25</v>
      </c>
      <c r="J12" t="s">
        <v>26</v>
      </c>
      <c r="K12" t="s">
        <v>27</v>
      </c>
      <c r="L12" t="s">
        <v>28</v>
      </c>
      <c r="M12" t="s">
        <v>29</v>
      </c>
      <c r="N12" t="s">
        <v>77</v>
      </c>
      <c r="O12">
        <v>25</v>
      </c>
      <c r="Q12">
        <v>37.5</v>
      </c>
      <c r="R12"/>
      <c r="S12">
        <v>2737.5</v>
      </c>
      <c r="T12">
        <v>12.5</v>
      </c>
      <c r="U12">
        <v>2737.5</v>
      </c>
      <c r="V12" t="s">
        <v>78</v>
      </c>
    </row>
    <row r="13" spans="1:23" hidden="1" x14ac:dyDescent="0.3">
      <c r="A13">
        <v>13</v>
      </c>
      <c r="B13" t="s">
        <v>79</v>
      </c>
      <c r="C13" t="s">
        <v>80</v>
      </c>
      <c r="D13">
        <v>4</v>
      </c>
      <c r="E13">
        <v>850</v>
      </c>
      <c r="F13">
        <v>3400</v>
      </c>
      <c r="G13" t="s">
        <v>23</v>
      </c>
      <c r="H13" t="s">
        <v>24</v>
      </c>
      <c r="I13" t="s">
        <v>25</v>
      </c>
      <c r="J13" t="s">
        <v>26</v>
      </c>
      <c r="K13" t="s">
        <v>27</v>
      </c>
      <c r="L13" t="s">
        <v>28</v>
      </c>
      <c r="M13" t="s">
        <v>61</v>
      </c>
      <c r="N13" t="s">
        <v>81</v>
      </c>
      <c r="O13">
        <v>625.16</v>
      </c>
      <c r="Q13">
        <v>937.74</v>
      </c>
      <c r="R13"/>
      <c r="S13">
        <v>3750.96</v>
      </c>
      <c r="T13">
        <v>312.58</v>
      </c>
      <c r="U13">
        <v>3750.96</v>
      </c>
      <c r="V13" t="s">
        <v>82</v>
      </c>
      <c r="W13" t="s">
        <v>83</v>
      </c>
    </row>
    <row r="14" spans="1:23" hidden="1" x14ac:dyDescent="0.3">
      <c r="A14">
        <v>14</v>
      </c>
      <c r="B14" t="s">
        <v>84</v>
      </c>
      <c r="C14" t="s">
        <v>85</v>
      </c>
      <c r="D14">
        <v>15</v>
      </c>
      <c r="E14">
        <v>59.33</v>
      </c>
      <c r="F14">
        <v>889.95</v>
      </c>
      <c r="G14" t="s">
        <v>23</v>
      </c>
      <c r="H14" t="s">
        <v>24</v>
      </c>
      <c r="I14" t="s">
        <v>25</v>
      </c>
      <c r="J14" t="s">
        <v>26</v>
      </c>
      <c r="K14" t="s">
        <v>27</v>
      </c>
      <c r="L14" t="s">
        <v>28</v>
      </c>
      <c r="M14" t="s">
        <v>56</v>
      </c>
      <c r="N14" t="s">
        <v>86</v>
      </c>
      <c r="O14">
        <v>35.79</v>
      </c>
      <c r="Q14">
        <v>53.69</v>
      </c>
      <c r="R14"/>
      <c r="S14">
        <v>805.35</v>
      </c>
      <c r="T14">
        <v>17.899999999999999</v>
      </c>
      <c r="U14">
        <v>805.35</v>
      </c>
      <c r="V14" t="s">
        <v>87</v>
      </c>
    </row>
    <row r="15" spans="1:23" hidden="1" x14ac:dyDescent="0.3">
      <c r="A15">
        <v>15</v>
      </c>
      <c r="B15" t="s">
        <v>88</v>
      </c>
      <c r="C15" t="s">
        <v>89</v>
      </c>
      <c r="D15">
        <v>35</v>
      </c>
      <c r="E15">
        <v>109.59</v>
      </c>
      <c r="F15">
        <v>3835.65</v>
      </c>
      <c r="G15" t="s">
        <v>23</v>
      </c>
      <c r="H15" t="s">
        <v>24</v>
      </c>
      <c r="I15" t="s">
        <v>25</v>
      </c>
      <c r="J15" t="s">
        <v>26</v>
      </c>
      <c r="K15" t="s">
        <v>27</v>
      </c>
      <c r="L15" t="s">
        <v>28</v>
      </c>
      <c r="M15" t="s">
        <v>61</v>
      </c>
      <c r="N15" t="s">
        <v>90</v>
      </c>
      <c r="O15">
        <v>197.42</v>
      </c>
      <c r="Q15">
        <v>296.13</v>
      </c>
      <c r="R15"/>
      <c r="S15">
        <v>10364.549999999999</v>
      </c>
      <c r="T15">
        <v>98.71</v>
      </c>
      <c r="U15">
        <v>10364.549999999999</v>
      </c>
      <c r="V15" t="s">
        <v>91</v>
      </c>
      <c r="W15" t="s">
        <v>92</v>
      </c>
    </row>
    <row r="16" spans="1:23" hidden="1" x14ac:dyDescent="0.3">
      <c r="A16">
        <v>16</v>
      </c>
      <c r="B16" t="s">
        <v>93</v>
      </c>
      <c r="C16" t="s">
        <v>94</v>
      </c>
      <c r="D16">
        <v>35</v>
      </c>
      <c r="E16">
        <v>52.39</v>
      </c>
      <c r="F16">
        <v>1833.65</v>
      </c>
      <c r="G16" t="s">
        <v>23</v>
      </c>
      <c r="H16" t="s">
        <v>24</v>
      </c>
      <c r="I16" t="s">
        <v>25</v>
      </c>
      <c r="J16" t="s">
        <v>26</v>
      </c>
      <c r="K16" t="s">
        <v>27</v>
      </c>
      <c r="L16" t="s">
        <v>28</v>
      </c>
      <c r="M16" t="s">
        <v>61</v>
      </c>
      <c r="N16" t="s">
        <v>95</v>
      </c>
      <c r="O16">
        <v>28.39</v>
      </c>
      <c r="Q16">
        <v>42.59</v>
      </c>
      <c r="R16"/>
      <c r="S16">
        <v>1490.65</v>
      </c>
      <c r="T16">
        <v>14.2</v>
      </c>
      <c r="U16">
        <v>1490.65</v>
      </c>
      <c r="V16" t="s">
        <v>96</v>
      </c>
    </row>
    <row r="17" spans="1:23" hidden="1" x14ac:dyDescent="0.3">
      <c r="A17">
        <v>17</v>
      </c>
      <c r="B17" t="s">
        <v>97</v>
      </c>
      <c r="C17" t="s">
        <v>98</v>
      </c>
      <c r="D17">
        <v>2</v>
      </c>
      <c r="E17">
        <v>192.77</v>
      </c>
      <c r="F17">
        <v>385.54</v>
      </c>
      <c r="G17" t="s">
        <v>23</v>
      </c>
      <c r="H17" t="s">
        <v>24</v>
      </c>
      <c r="I17" t="s">
        <v>25</v>
      </c>
      <c r="J17" t="s">
        <v>26</v>
      </c>
      <c r="K17" t="s">
        <v>27</v>
      </c>
      <c r="L17" t="s">
        <v>28</v>
      </c>
      <c r="M17" t="s">
        <v>61</v>
      </c>
      <c r="N17" t="s">
        <v>99</v>
      </c>
      <c r="O17">
        <v>124.32</v>
      </c>
      <c r="Q17">
        <v>186.48</v>
      </c>
      <c r="R17"/>
      <c r="S17">
        <v>372.96</v>
      </c>
      <c r="T17">
        <v>62.16</v>
      </c>
      <c r="U17">
        <v>372.96</v>
      </c>
      <c r="V17" t="s">
        <v>100</v>
      </c>
    </row>
    <row r="18" spans="1:23" hidden="1" x14ac:dyDescent="0.3">
      <c r="A18">
        <v>18</v>
      </c>
      <c r="B18" t="s">
        <v>101</v>
      </c>
      <c r="C18" t="s">
        <v>102</v>
      </c>
      <c r="D18">
        <v>2</v>
      </c>
      <c r="E18">
        <v>118.67</v>
      </c>
      <c r="F18">
        <v>237.34</v>
      </c>
      <c r="G18" t="s">
        <v>23</v>
      </c>
      <c r="H18" t="s">
        <v>24</v>
      </c>
      <c r="I18" t="s">
        <v>25</v>
      </c>
      <c r="J18" t="s">
        <v>26</v>
      </c>
      <c r="K18" t="s">
        <v>27</v>
      </c>
      <c r="L18" t="s">
        <v>28</v>
      </c>
      <c r="M18" t="s">
        <v>61</v>
      </c>
      <c r="N18" t="s">
        <v>103</v>
      </c>
      <c r="O18">
        <v>80.19</v>
      </c>
      <c r="Q18">
        <v>120.28</v>
      </c>
      <c r="R18"/>
      <c r="S18">
        <v>240.56</v>
      </c>
      <c r="T18">
        <v>40.090000000000003</v>
      </c>
      <c r="U18">
        <v>240.56</v>
      </c>
      <c r="V18" t="s">
        <v>104</v>
      </c>
    </row>
    <row r="19" spans="1:23" hidden="1" x14ac:dyDescent="0.3">
      <c r="A19">
        <v>19</v>
      </c>
      <c r="B19" t="s">
        <v>105</v>
      </c>
      <c r="C19" t="s">
        <v>106</v>
      </c>
      <c r="D19">
        <v>6</v>
      </c>
      <c r="E19">
        <v>264.38</v>
      </c>
      <c r="F19">
        <v>1586.28</v>
      </c>
      <c r="G19" t="s">
        <v>23</v>
      </c>
      <c r="H19" t="s">
        <v>24</v>
      </c>
      <c r="I19" t="s">
        <v>25</v>
      </c>
      <c r="J19" t="s">
        <v>26</v>
      </c>
      <c r="K19" t="s">
        <v>27</v>
      </c>
      <c r="L19" t="s">
        <v>28</v>
      </c>
      <c r="M19" t="s">
        <v>107</v>
      </c>
      <c r="N19" t="s">
        <v>108</v>
      </c>
      <c r="O19">
        <v>186.94</v>
      </c>
      <c r="Q19">
        <v>280.41000000000003</v>
      </c>
      <c r="R19"/>
      <c r="S19">
        <v>1682.46</v>
      </c>
      <c r="T19">
        <v>93.47</v>
      </c>
      <c r="U19">
        <v>1682.46</v>
      </c>
      <c r="V19" t="s">
        <v>109</v>
      </c>
      <c r="W19" t="s">
        <v>110</v>
      </c>
    </row>
    <row r="20" spans="1:23" hidden="1" x14ac:dyDescent="0.3">
      <c r="A20">
        <v>20</v>
      </c>
      <c r="B20" t="s">
        <v>111</v>
      </c>
      <c r="C20" t="s">
        <v>112</v>
      </c>
      <c r="D20">
        <v>10</v>
      </c>
      <c r="E20">
        <v>85.97</v>
      </c>
      <c r="F20">
        <v>859.7</v>
      </c>
      <c r="G20" t="s">
        <v>23</v>
      </c>
      <c r="H20" t="s">
        <v>24</v>
      </c>
      <c r="I20" t="s">
        <v>25</v>
      </c>
      <c r="J20" t="s">
        <v>26</v>
      </c>
      <c r="K20" t="s">
        <v>27</v>
      </c>
      <c r="L20" t="s">
        <v>28</v>
      </c>
      <c r="M20" t="s">
        <v>113</v>
      </c>
      <c r="N20" t="s">
        <v>114</v>
      </c>
      <c r="O20">
        <v>48.11</v>
      </c>
      <c r="Q20">
        <v>72.16</v>
      </c>
      <c r="R20"/>
      <c r="S20">
        <v>721.6</v>
      </c>
      <c r="T20">
        <v>24.05</v>
      </c>
      <c r="U20">
        <v>721.6</v>
      </c>
      <c r="V20" t="s">
        <v>115</v>
      </c>
    </row>
    <row r="21" spans="1:23" hidden="1" x14ac:dyDescent="0.3">
      <c r="A21">
        <v>21</v>
      </c>
      <c r="B21" t="s">
        <v>116</v>
      </c>
      <c r="C21" t="s">
        <v>117</v>
      </c>
      <c r="D21">
        <v>8</v>
      </c>
      <c r="E21">
        <v>97.92</v>
      </c>
      <c r="F21">
        <v>783.36</v>
      </c>
      <c r="G21" t="s">
        <v>23</v>
      </c>
      <c r="H21" t="s">
        <v>24</v>
      </c>
      <c r="I21" t="s">
        <v>25</v>
      </c>
      <c r="J21" t="s">
        <v>26</v>
      </c>
      <c r="K21" t="s">
        <v>27</v>
      </c>
      <c r="L21" t="s">
        <v>28</v>
      </c>
      <c r="M21" t="s">
        <v>61</v>
      </c>
      <c r="N21" t="s">
        <v>118</v>
      </c>
      <c r="O21">
        <v>54.17</v>
      </c>
      <c r="Q21">
        <v>81.25</v>
      </c>
      <c r="R21"/>
      <c r="S21">
        <v>650</v>
      </c>
      <c r="T21">
        <v>27.08</v>
      </c>
      <c r="U21">
        <v>650</v>
      </c>
      <c r="V21" t="s">
        <v>119</v>
      </c>
    </row>
    <row r="22" spans="1:23" hidden="1" x14ac:dyDescent="0.3">
      <c r="A22">
        <v>22</v>
      </c>
      <c r="B22" t="s">
        <v>116</v>
      </c>
      <c r="C22" t="s">
        <v>120</v>
      </c>
      <c r="D22">
        <v>8</v>
      </c>
      <c r="E22">
        <v>194.33</v>
      </c>
      <c r="F22">
        <v>1554.64</v>
      </c>
      <c r="G22" t="s">
        <v>23</v>
      </c>
      <c r="H22" t="s">
        <v>24</v>
      </c>
      <c r="I22" t="s">
        <v>25</v>
      </c>
      <c r="J22" t="s">
        <v>26</v>
      </c>
      <c r="K22" t="s">
        <v>27</v>
      </c>
      <c r="L22" t="s">
        <v>28</v>
      </c>
      <c r="M22" t="s">
        <v>61</v>
      </c>
      <c r="N22" t="s">
        <v>121</v>
      </c>
      <c r="O22">
        <v>123.64</v>
      </c>
      <c r="Q22">
        <v>185.46</v>
      </c>
      <c r="R22"/>
      <c r="S22">
        <v>1483.68</v>
      </c>
      <c r="T22">
        <v>61.82</v>
      </c>
      <c r="U22">
        <v>1483.68</v>
      </c>
      <c r="V22" t="s">
        <v>122</v>
      </c>
      <c r="W22" t="s">
        <v>123</v>
      </c>
    </row>
    <row r="23" spans="1:23" hidden="1" x14ac:dyDescent="0.3">
      <c r="A23">
        <v>23</v>
      </c>
      <c r="B23" t="s">
        <v>124</v>
      </c>
      <c r="C23" t="s">
        <v>125</v>
      </c>
      <c r="D23">
        <v>4</v>
      </c>
      <c r="E23">
        <v>2546.67</v>
      </c>
      <c r="F23">
        <v>10186.68</v>
      </c>
      <c r="G23" t="s">
        <v>23</v>
      </c>
      <c r="H23" t="s">
        <v>24</v>
      </c>
      <c r="I23" t="s">
        <v>25</v>
      </c>
      <c r="J23" t="s">
        <v>26</v>
      </c>
      <c r="K23" t="s">
        <v>27</v>
      </c>
      <c r="L23" t="s">
        <v>28</v>
      </c>
      <c r="M23" t="s">
        <v>126</v>
      </c>
      <c r="N23" t="s">
        <v>127</v>
      </c>
      <c r="O23">
        <v>2700</v>
      </c>
      <c r="Q23">
        <v>4050</v>
      </c>
      <c r="R23"/>
      <c r="S23">
        <v>16200</v>
      </c>
      <c r="T23">
        <v>1350</v>
      </c>
      <c r="U23">
        <v>16200</v>
      </c>
      <c r="V23" t="s">
        <v>128</v>
      </c>
      <c r="W23" t="s">
        <v>129</v>
      </c>
    </row>
    <row r="24" spans="1:23" hidden="1" x14ac:dyDescent="0.3">
      <c r="A24">
        <v>24</v>
      </c>
      <c r="B24" t="s">
        <v>130</v>
      </c>
      <c r="C24" t="s">
        <v>131</v>
      </c>
      <c r="D24">
        <v>19</v>
      </c>
      <c r="E24">
        <v>92.56</v>
      </c>
      <c r="F24">
        <v>1758.64</v>
      </c>
      <c r="G24" t="s">
        <v>23</v>
      </c>
      <c r="H24" t="s">
        <v>24</v>
      </c>
      <c r="I24" t="s">
        <v>25</v>
      </c>
      <c r="J24" t="s">
        <v>26</v>
      </c>
      <c r="K24" t="s">
        <v>27</v>
      </c>
      <c r="L24" t="s">
        <v>28</v>
      </c>
      <c r="M24" t="s">
        <v>56</v>
      </c>
      <c r="N24" t="s">
        <v>132</v>
      </c>
      <c r="O24">
        <v>63.1</v>
      </c>
      <c r="Q24">
        <v>94.65</v>
      </c>
      <c r="R24"/>
      <c r="S24">
        <v>1798.35</v>
      </c>
      <c r="T24">
        <v>31.55</v>
      </c>
      <c r="U24">
        <v>1798.35</v>
      </c>
      <c r="V24" t="s">
        <v>133</v>
      </c>
    </row>
    <row r="25" spans="1:23" hidden="1" x14ac:dyDescent="0.3">
      <c r="A25">
        <v>25</v>
      </c>
      <c r="B25" t="s">
        <v>134</v>
      </c>
      <c r="C25" t="s">
        <v>135</v>
      </c>
      <c r="D25">
        <v>7</v>
      </c>
      <c r="E25">
        <v>525.26</v>
      </c>
      <c r="F25">
        <v>3676.82</v>
      </c>
      <c r="G25" t="s">
        <v>23</v>
      </c>
      <c r="H25" t="s">
        <v>24</v>
      </c>
      <c r="I25" t="s">
        <v>25</v>
      </c>
      <c r="J25" t="s">
        <v>26</v>
      </c>
      <c r="K25" t="s">
        <v>27</v>
      </c>
      <c r="L25" t="s">
        <v>28</v>
      </c>
      <c r="M25" t="s">
        <v>61</v>
      </c>
      <c r="N25" t="s">
        <v>136</v>
      </c>
      <c r="O25">
        <v>358.9</v>
      </c>
      <c r="Q25">
        <v>538.35</v>
      </c>
      <c r="R25"/>
      <c r="S25">
        <v>3768.45</v>
      </c>
      <c r="T25">
        <v>179.45</v>
      </c>
      <c r="U25">
        <v>3768.45</v>
      </c>
      <c r="V25" t="s">
        <v>137</v>
      </c>
    </row>
    <row r="26" spans="1:23" hidden="1" x14ac:dyDescent="0.3">
      <c r="A26">
        <v>26</v>
      </c>
      <c r="B26" t="s">
        <v>138</v>
      </c>
      <c r="C26" t="s">
        <v>139</v>
      </c>
      <c r="D26">
        <v>7</v>
      </c>
      <c r="E26">
        <v>525.26</v>
      </c>
      <c r="F26">
        <v>3676.82</v>
      </c>
      <c r="G26" t="s">
        <v>23</v>
      </c>
      <c r="H26" t="s">
        <v>24</v>
      </c>
      <c r="I26" t="s">
        <v>25</v>
      </c>
      <c r="J26" t="s">
        <v>26</v>
      </c>
      <c r="K26" t="s">
        <v>27</v>
      </c>
      <c r="L26" t="s">
        <v>28</v>
      </c>
      <c r="M26" t="s">
        <v>61</v>
      </c>
      <c r="N26" t="s">
        <v>140</v>
      </c>
      <c r="O26">
        <v>523.54999999999995</v>
      </c>
      <c r="Q26">
        <v>785.32</v>
      </c>
      <c r="R26"/>
      <c r="S26">
        <v>5497.24</v>
      </c>
      <c r="T26">
        <v>261.77</v>
      </c>
      <c r="U26">
        <v>5497.24</v>
      </c>
      <c r="V26" t="s">
        <v>141</v>
      </c>
      <c r="W26" t="s">
        <v>142</v>
      </c>
    </row>
    <row r="27" spans="1:23" hidden="1" x14ac:dyDescent="0.3">
      <c r="A27">
        <v>27</v>
      </c>
      <c r="B27" t="s">
        <v>143</v>
      </c>
      <c r="C27" t="s">
        <v>144</v>
      </c>
      <c r="D27">
        <v>7</v>
      </c>
      <c r="E27">
        <v>549.94000000000005</v>
      </c>
      <c r="F27">
        <v>3849.58</v>
      </c>
      <c r="G27" t="s">
        <v>23</v>
      </c>
      <c r="H27" t="s">
        <v>24</v>
      </c>
      <c r="I27" t="s">
        <v>25</v>
      </c>
      <c r="J27" t="s">
        <v>26</v>
      </c>
      <c r="K27" t="s">
        <v>27</v>
      </c>
      <c r="L27" t="s">
        <v>28</v>
      </c>
      <c r="M27" t="s">
        <v>61</v>
      </c>
      <c r="N27" t="s">
        <v>145</v>
      </c>
      <c r="O27">
        <v>633.69000000000005</v>
      </c>
      <c r="Q27">
        <v>950.54</v>
      </c>
      <c r="R27"/>
      <c r="S27">
        <v>6653.78</v>
      </c>
      <c r="T27">
        <v>316.85000000000002</v>
      </c>
      <c r="U27">
        <v>6653.78</v>
      </c>
      <c r="V27" t="s">
        <v>146</v>
      </c>
      <c r="W27" t="s">
        <v>147</v>
      </c>
    </row>
    <row r="28" spans="1:23" hidden="1" x14ac:dyDescent="0.3">
      <c r="A28">
        <v>28</v>
      </c>
      <c r="B28" t="s">
        <v>148</v>
      </c>
      <c r="C28" t="s">
        <v>149</v>
      </c>
      <c r="D28">
        <v>4</v>
      </c>
      <c r="E28">
        <v>926.48</v>
      </c>
      <c r="F28">
        <v>3705.92</v>
      </c>
      <c r="G28" t="s">
        <v>23</v>
      </c>
      <c r="H28" t="s">
        <v>24</v>
      </c>
      <c r="I28" t="s">
        <v>25</v>
      </c>
      <c r="J28" t="s">
        <v>26</v>
      </c>
      <c r="K28" t="s">
        <v>27</v>
      </c>
      <c r="L28" t="s">
        <v>28</v>
      </c>
      <c r="M28" t="s">
        <v>61</v>
      </c>
      <c r="N28" t="s">
        <v>150</v>
      </c>
      <c r="O28">
        <v>639</v>
      </c>
      <c r="Q28">
        <v>958.5</v>
      </c>
      <c r="R28"/>
      <c r="S28">
        <v>3834</v>
      </c>
      <c r="T28">
        <v>319.5</v>
      </c>
      <c r="U28">
        <v>3834</v>
      </c>
      <c r="V28" t="s">
        <v>151</v>
      </c>
    </row>
    <row r="29" spans="1:23" hidden="1" x14ac:dyDescent="0.3">
      <c r="A29">
        <v>29</v>
      </c>
      <c r="B29" t="s">
        <v>148</v>
      </c>
      <c r="C29" t="s">
        <v>152</v>
      </c>
      <c r="D29">
        <v>8</v>
      </c>
      <c r="E29">
        <v>729.78</v>
      </c>
      <c r="F29">
        <v>5838.24</v>
      </c>
      <c r="G29" t="s">
        <v>23</v>
      </c>
      <c r="H29" t="s">
        <v>24</v>
      </c>
      <c r="I29" t="s">
        <v>25</v>
      </c>
      <c r="J29" t="s">
        <v>26</v>
      </c>
      <c r="K29" t="s">
        <v>27</v>
      </c>
      <c r="L29" t="s">
        <v>28</v>
      </c>
      <c r="M29" t="s">
        <v>61</v>
      </c>
      <c r="N29" t="s">
        <v>153</v>
      </c>
      <c r="O29">
        <v>615.34</v>
      </c>
      <c r="Q29">
        <v>923.01</v>
      </c>
      <c r="R29"/>
      <c r="S29">
        <v>7384.08</v>
      </c>
      <c r="T29">
        <v>307.67</v>
      </c>
      <c r="U29">
        <v>7384.08</v>
      </c>
      <c r="V29" t="s">
        <v>154</v>
      </c>
      <c r="W29" t="s">
        <v>155</v>
      </c>
    </row>
    <row r="30" spans="1:23" hidden="1" x14ac:dyDescent="0.3">
      <c r="A30">
        <v>30</v>
      </c>
      <c r="B30" t="s">
        <v>156</v>
      </c>
      <c r="C30" t="s">
        <v>157</v>
      </c>
      <c r="D30">
        <v>4</v>
      </c>
      <c r="E30">
        <v>1165.99</v>
      </c>
      <c r="F30">
        <v>4663.96</v>
      </c>
      <c r="G30" t="s">
        <v>23</v>
      </c>
      <c r="H30" t="s">
        <v>24</v>
      </c>
      <c r="I30" t="s">
        <v>25</v>
      </c>
      <c r="J30" t="s">
        <v>26</v>
      </c>
      <c r="K30" t="s">
        <v>158</v>
      </c>
      <c r="L30" t="s">
        <v>159</v>
      </c>
      <c r="O30">
        <v>0</v>
      </c>
      <c r="Q30">
        <v>0</v>
      </c>
      <c r="R30"/>
      <c r="S30">
        <v>0</v>
      </c>
      <c r="T30">
        <v>0</v>
      </c>
      <c r="U30">
        <v>0</v>
      </c>
      <c r="V30" t="s">
        <v>160</v>
      </c>
      <c r="W30" t="s">
        <v>161</v>
      </c>
    </row>
    <row r="31" spans="1:23" hidden="1" x14ac:dyDescent="0.3">
      <c r="A31">
        <v>31</v>
      </c>
      <c r="B31" t="s">
        <v>162</v>
      </c>
      <c r="C31" t="s">
        <v>163</v>
      </c>
      <c r="D31">
        <v>2</v>
      </c>
      <c r="E31">
        <v>954.44</v>
      </c>
      <c r="F31">
        <v>1908.88</v>
      </c>
      <c r="G31" t="s">
        <v>23</v>
      </c>
      <c r="H31" t="s">
        <v>24</v>
      </c>
      <c r="I31" t="s">
        <v>25</v>
      </c>
      <c r="J31" t="s">
        <v>26</v>
      </c>
      <c r="K31" t="s">
        <v>27</v>
      </c>
      <c r="L31" t="s">
        <v>164</v>
      </c>
      <c r="M31" t="s">
        <v>165</v>
      </c>
      <c r="N31" t="s">
        <v>166</v>
      </c>
      <c r="O31">
        <v>636.12</v>
      </c>
      <c r="Q31">
        <v>954.18</v>
      </c>
      <c r="R31"/>
      <c r="S31">
        <v>1908.36</v>
      </c>
      <c r="T31">
        <v>318.06</v>
      </c>
      <c r="U31">
        <v>1908.36</v>
      </c>
      <c r="V31" t="s">
        <v>167</v>
      </c>
    </row>
    <row r="32" spans="1:23" hidden="1" x14ac:dyDescent="0.3">
      <c r="A32">
        <v>32</v>
      </c>
      <c r="B32" t="s">
        <v>168</v>
      </c>
      <c r="C32" t="s">
        <v>169</v>
      </c>
      <c r="D32">
        <v>13</v>
      </c>
      <c r="E32">
        <v>829.66</v>
      </c>
      <c r="F32">
        <v>10785.58</v>
      </c>
      <c r="G32" t="s">
        <v>23</v>
      </c>
      <c r="H32" t="s">
        <v>24</v>
      </c>
      <c r="I32" t="s">
        <v>25</v>
      </c>
      <c r="J32" t="s">
        <v>26</v>
      </c>
      <c r="K32" t="s">
        <v>27</v>
      </c>
      <c r="L32" t="s">
        <v>28</v>
      </c>
      <c r="M32" t="s">
        <v>52</v>
      </c>
      <c r="N32" t="s">
        <v>170</v>
      </c>
      <c r="O32">
        <v>491.56</v>
      </c>
      <c r="Q32">
        <v>737.34</v>
      </c>
      <c r="R32"/>
      <c r="S32">
        <v>9585.42</v>
      </c>
      <c r="T32">
        <v>245.78</v>
      </c>
      <c r="U32">
        <v>9585.42</v>
      </c>
      <c r="V32" t="s">
        <v>171</v>
      </c>
    </row>
    <row r="33" spans="1:23" hidden="1" x14ac:dyDescent="0.3">
      <c r="A33">
        <v>1</v>
      </c>
      <c r="B33" t="s">
        <v>172</v>
      </c>
      <c r="C33" t="s">
        <v>173</v>
      </c>
      <c r="D33">
        <v>8</v>
      </c>
      <c r="E33">
        <v>17015.75</v>
      </c>
      <c r="F33">
        <v>136126</v>
      </c>
      <c r="G33" t="s">
        <v>23</v>
      </c>
      <c r="H33" t="s">
        <v>174</v>
      </c>
      <c r="I33" t="s">
        <v>175</v>
      </c>
      <c r="J33" t="s">
        <v>26</v>
      </c>
      <c r="K33" t="s">
        <v>27</v>
      </c>
      <c r="L33" t="s">
        <v>28</v>
      </c>
      <c r="M33" t="s">
        <v>126</v>
      </c>
      <c r="N33" t="s">
        <v>176</v>
      </c>
      <c r="O33">
        <v>17500</v>
      </c>
      <c r="Q33">
        <v>26250</v>
      </c>
      <c r="R33"/>
      <c r="S33">
        <v>210000</v>
      </c>
      <c r="T33">
        <v>8750</v>
      </c>
      <c r="U33">
        <v>210000</v>
      </c>
      <c r="V33" t="s">
        <v>177</v>
      </c>
      <c r="W33" t="s">
        <v>178</v>
      </c>
    </row>
    <row r="34" spans="1:23" hidden="1" x14ac:dyDescent="0.3">
      <c r="A34">
        <v>2</v>
      </c>
      <c r="B34" t="s">
        <v>179</v>
      </c>
      <c r="C34" t="s">
        <v>180</v>
      </c>
      <c r="D34">
        <v>4</v>
      </c>
      <c r="E34">
        <v>19000</v>
      </c>
      <c r="F34">
        <v>76000</v>
      </c>
      <c r="G34" t="s">
        <v>23</v>
      </c>
      <c r="H34" t="s">
        <v>181</v>
      </c>
      <c r="I34" t="s">
        <v>175</v>
      </c>
      <c r="J34" t="s">
        <v>26</v>
      </c>
      <c r="K34" t="s">
        <v>27</v>
      </c>
      <c r="L34" t="s">
        <v>28</v>
      </c>
      <c r="M34" t="s">
        <v>182</v>
      </c>
      <c r="N34" t="s">
        <v>183</v>
      </c>
      <c r="O34">
        <v>5590</v>
      </c>
      <c r="Q34">
        <v>8385</v>
      </c>
      <c r="R34"/>
      <c r="S34">
        <v>33540</v>
      </c>
      <c r="T34">
        <v>2795</v>
      </c>
      <c r="U34">
        <v>33540</v>
      </c>
      <c r="V34" t="s">
        <v>184</v>
      </c>
      <c r="W34" t="s">
        <v>185</v>
      </c>
    </row>
    <row r="35" spans="1:23" hidden="1" x14ac:dyDescent="0.3">
      <c r="A35">
        <v>4</v>
      </c>
      <c r="B35" t="s">
        <v>186</v>
      </c>
      <c r="C35" t="s">
        <v>187</v>
      </c>
      <c r="D35">
        <v>8</v>
      </c>
      <c r="E35">
        <v>5071.43</v>
      </c>
      <c r="F35">
        <v>40571.440000000002</v>
      </c>
      <c r="G35" t="s">
        <v>23</v>
      </c>
      <c r="H35" t="s">
        <v>24</v>
      </c>
      <c r="I35" t="s">
        <v>25</v>
      </c>
      <c r="J35" t="s">
        <v>26</v>
      </c>
      <c r="K35" t="s">
        <v>188</v>
      </c>
      <c r="L35" t="s">
        <v>28</v>
      </c>
      <c r="M35" t="s">
        <v>113</v>
      </c>
      <c r="N35" t="s">
        <v>189</v>
      </c>
      <c r="O35">
        <v>3184.5</v>
      </c>
      <c r="Q35">
        <v>4776.75</v>
      </c>
      <c r="R35"/>
      <c r="S35">
        <v>38214</v>
      </c>
      <c r="T35">
        <v>1592.25</v>
      </c>
      <c r="U35">
        <v>38214</v>
      </c>
      <c r="V35" t="s">
        <v>190</v>
      </c>
      <c r="W35" t="s">
        <v>191</v>
      </c>
    </row>
    <row r="36" spans="1:23" hidden="1" x14ac:dyDescent="0.3">
      <c r="A36">
        <v>3</v>
      </c>
      <c r="B36" t="s">
        <v>192</v>
      </c>
      <c r="C36" t="s">
        <v>193</v>
      </c>
      <c r="D36">
        <v>2</v>
      </c>
      <c r="E36">
        <v>22681.200000000001</v>
      </c>
      <c r="F36">
        <v>45362.400000000001</v>
      </c>
      <c r="G36" t="s">
        <v>23</v>
      </c>
      <c r="H36" t="s">
        <v>174</v>
      </c>
      <c r="I36" t="s">
        <v>175</v>
      </c>
      <c r="J36" t="s">
        <v>26</v>
      </c>
      <c r="K36" t="s">
        <v>27</v>
      </c>
      <c r="L36" t="s">
        <v>28</v>
      </c>
      <c r="M36" t="s">
        <v>182</v>
      </c>
      <c r="N36" t="s">
        <v>194</v>
      </c>
      <c r="O36">
        <v>7490</v>
      </c>
      <c r="Q36">
        <v>11235</v>
      </c>
      <c r="R36"/>
      <c r="S36">
        <v>22470</v>
      </c>
      <c r="T36">
        <v>3745</v>
      </c>
      <c r="U36">
        <v>22470</v>
      </c>
      <c r="V36" t="s">
        <v>195</v>
      </c>
    </row>
    <row r="37" spans="1:23" hidden="1" x14ac:dyDescent="0.3">
      <c r="A37">
        <v>4</v>
      </c>
      <c r="B37" t="s">
        <v>196</v>
      </c>
      <c r="C37" t="s">
        <v>197</v>
      </c>
      <c r="D37">
        <v>3</v>
      </c>
      <c r="E37">
        <v>15531.6</v>
      </c>
      <c r="F37">
        <v>46594.8</v>
      </c>
      <c r="G37" t="s">
        <v>23</v>
      </c>
      <c r="H37" t="s">
        <v>174</v>
      </c>
      <c r="I37" t="s">
        <v>175</v>
      </c>
      <c r="J37" t="s">
        <v>26</v>
      </c>
      <c r="K37" t="s">
        <v>27</v>
      </c>
      <c r="L37" t="s">
        <v>28</v>
      </c>
      <c r="M37" t="s">
        <v>126</v>
      </c>
      <c r="N37" t="s">
        <v>198</v>
      </c>
      <c r="O37">
        <v>9731.52</v>
      </c>
      <c r="Q37">
        <v>14597.28</v>
      </c>
      <c r="R37"/>
      <c r="S37">
        <v>43791.839999999997</v>
      </c>
      <c r="T37">
        <v>4865.76</v>
      </c>
      <c r="U37">
        <v>43791.839999999997</v>
      </c>
      <c r="V37" t="s">
        <v>199</v>
      </c>
      <c r="W37" t="s">
        <v>200</v>
      </c>
    </row>
    <row r="38" spans="1:23" hidden="1" x14ac:dyDescent="0.3">
      <c r="A38">
        <v>5</v>
      </c>
      <c r="B38" t="s">
        <v>201</v>
      </c>
      <c r="C38" t="s">
        <v>202</v>
      </c>
      <c r="D38">
        <v>4</v>
      </c>
      <c r="E38">
        <v>24189.040000000001</v>
      </c>
      <c r="F38">
        <v>96756.160000000003</v>
      </c>
      <c r="G38" t="s">
        <v>23</v>
      </c>
      <c r="H38" t="s">
        <v>174</v>
      </c>
      <c r="I38" t="s">
        <v>175</v>
      </c>
      <c r="J38" t="s">
        <v>26</v>
      </c>
      <c r="K38" t="s">
        <v>27</v>
      </c>
      <c r="L38" t="s">
        <v>28</v>
      </c>
      <c r="M38" t="s">
        <v>126</v>
      </c>
      <c r="N38" t="s">
        <v>203</v>
      </c>
      <c r="O38">
        <v>9652.08</v>
      </c>
      <c r="Q38">
        <v>14478.12</v>
      </c>
      <c r="R38"/>
      <c r="S38">
        <v>57912.480000000003</v>
      </c>
      <c r="T38">
        <v>4826.04</v>
      </c>
      <c r="U38">
        <v>57912.480000000003</v>
      </c>
      <c r="V38" t="s">
        <v>204</v>
      </c>
      <c r="W38" t="s">
        <v>205</v>
      </c>
    </row>
    <row r="39" spans="1:23" hidden="1" x14ac:dyDescent="0.3">
      <c r="A39">
        <v>6</v>
      </c>
      <c r="B39" t="s">
        <v>206</v>
      </c>
      <c r="C39" t="s">
        <v>207</v>
      </c>
      <c r="D39">
        <v>1</v>
      </c>
      <c r="E39">
        <v>43316.800000000003</v>
      </c>
      <c r="F39">
        <v>43316.800000000003</v>
      </c>
      <c r="G39" t="s">
        <v>23</v>
      </c>
      <c r="H39" t="s">
        <v>174</v>
      </c>
      <c r="I39" t="s">
        <v>175</v>
      </c>
      <c r="J39" t="s">
        <v>26</v>
      </c>
      <c r="K39" t="s">
        <v>27</v>
      </c>
      <c r="L39" t="s">
        <v>28</v>
      </c>
      <c r="M39" t="s">
        <v>126</v>
      </c>
      <c r="N39" t="s">
        <v>208</v>
      </c>
      <c r="O39">
        <v>22464.58</v>
      </c>
      <c r="Q39">
        <v>33696.870000000003</v>
      </c>
      <c r="R39"/>
      <c r="S39">
        <v>33696.870000000003</v>
      </c>
      <c r="T39">
        <v>11232.29</v>
      </c>
      <c r="U39">
        <v>33696.870000000003</v>
      </c>
      <c r="V39" t="s">
        <v>209</v>
      </c>
    </row>
    <row r="40" spans="1:23" hidden="1" x14ac:dyDescent="0.3">
      <c r="A40">
        <v>7</v>
      </c>
      <c r="B40" t="s">
        <v>210</v>
      </c>
      <c r="C40" t="s">
        <v>211</v>
      </c>
      <c r="D40">
        <v>2</v>
      </c>
      <c r="E40">
        <v>54850</v>
      </c>
      <c r="F40">
        <v>109700</v>
      </c>
      <c r="G40" t="s">
        <v>23</v>
      </c>
      <c r="H40" t="s">
        <v>174</v>
      </c>
      <c r="I40" t="s">
        <v>175</v>
      </c>
      <c r="J40" t="s">
        <v>26</v>
      </c>
      <c r="K40" t="s">
        <v>212</v>
      </c>
      <c r="L40" t="s">
        <v>28</v>
      </c>
      <c r="M40" t="s">
        <v>213</v>
      </c>
      <c r="N40" t="s">
        <v>214</v>
      </c>
      <c r="O40">
        <v>19906</v>
      </c>
      <c r="Q40">
        <v>29859</v>
      </c>
      <c r="R40"/>
      <c r="S40">
        <v>59718</v>
      </c>
      <c r="T40">
        <v>9953</v>
      </c>
      <c r="U40">
        <v>59718</v>
      </c>
      <c r="V40" t="s">
        <v>215</v>
      </c>
    </row>
    <row r="41" spans="1:23" hidden="1" x14ac:dyDescent="0.3">
      <c r="A41">
        <v>8</v>
      </c>
      <c r="B41" t="s">
        <v>216</v>
      </c>
      <c r="C41" t="s">
        <v>217</v>
      </c>
      <c r="D41">
        <v>11</v>
      </c>
      <c r="E41">
        <v>1089.96</v>
      </c>
      <c r="F41">
        <v>11989.56</v>
      </c>
      <c r="G41" t="s">
        <v>23</v>
      </c>
      <c r="H41" t="s">
        <v>181</v>
      </c>
      <c r="I41" t="s">
        <v>175</v>
      </c>
      <c r="J41" t="s">
        <v>26</v>
      </c>
      <c r="K41" t="s">
        <v>218</v>
      </c>
      <c r="L41" t="s">
        <v>28</v>
      </c>
      <c r="M41" t="s">
        <v>61</v>
      </c>
      <c r="N41" t="s">
        <v>219</v>
      </c>
      <c r="O41">
        <v>458.39</v>
      </c>
      <c r="Q41">
        <v>687.59</v>
      </c>
      <c r="R41"/>
      <c r="S41">
        <v>7563.49</v>
      </c>
      <c r="T41">
        <v>229.2</v>
      </c>
      <c r="U41">
        <v>7563.49</v>
      </c>
      <c r="V41" t="s">
        <v>220</v>
      </c>
      <c r="W41" t="s">
        <v>221</v>
      </c>
    </row>
    <row r="42" spans="1:23" hidden="1" x14ac:dyDescent="0.3">
      <c r="A42">
        <v>9</v>
      </c>
      <c r="B42" t="s">
        <v>222</v>
      </c>
      <c r="C42" t="s">
        <v>223</v>
      </c>
      <c r="D42">
        <v>7</v>
      </c>
      <c r="E42">
        <v>1998</v>
      </c>
      <c r="F42">
        <v>13986</v>
      </c>
      <c r="G42" t="s">
        <v>23</v>
      </c>
      <c r="H42" t="s">
        <v>181</v>
      </c>
      <c r="I42" t="s">
        <v>175</v>
      </c>
      <c r="J42" t="s">
        <v>26</v>
      </c>
      <c r="K42" t="s">
        <v>224</v>
      </c>
      <c r="L42" t="s">
        <v>28</v>
      </c>
      <c r="M42" t="s">
        <v>213</v>
      </c>
      <c r="N42" t="s">
        <v>225</v>
      </c>
      <c r="O42">
        <v>4807</v>
      </c>
      <c r="Q42">
        <v>7210.5</v>
      </c>
      <c r="R42"/>
      <c r="S42">
        <v>50473.5</v>
      </c>
      <c r="T42">
        <v>2403.5</v>
      </c>
      <c r="U42">
        <v>50473.5</v>
      </c>
      <c r="V42" t="s">
        <v>226</v>
      </c>
      <c r="W42" t="s">
        <v>227</v>
      </c>
    </row>
    <row r="43" spans="1:23" hidden="1" x14ac:dyDescent="0.3">
      <c r="A43">
        <v>10</v>
      </c>
      <c r="B43" t="s">
        <v>228</v>
      </c>
      <c r="C43" t="s">
        <v>229</v>
      </c>
      <c r="D43">
        <v>6</v>
      </c>
      <c r="E43">
        <v>1100</v>
      </c>
      <c r="F43">
        <v>6600</v>
      </c>
      <c r="G43" t="s">
        <v>23</v>
      </c>
      <c r="H43" t="s">
        <v>181</v>
      </c>
      <c r="I43" t="s">
        <v>175</v>
      </c>
      <c r="J43" t="s">
        <v>26</v>
      </c>
      <c r="K43" t="s">
        <v>230</v>
      </c>
      <c r="L43" t="s">
        <v>28</v>
      </c>
      <c r="M43" t="s">
        <v>61</v>
      </c>
      <c r="N43" t="s">
        <v>231</v>
      </c>
      <c r="O43">
        <v>63.72</v>
      </c>
      <c r="Q43">
        <v>95.58</v>
      </c>
      <c r="R43"/>
      <c r="S43">
        <v>573.48</v>
      </c>
      <c r="T43">
        <v>31.86</v>
      </c>
      <c r="U43">
        <v>573.48</v>
      </c>
      <c r="V43" t="s">
        <v>232</v>
      </c>
      <c r="W43" t="s">
        <v>233</v>
      </c>
    </row>
    <row r="44" spans="1:23" hidden="1" x14ac:dyDescent="0.3">
      <c r="A44">
        <v>11</v>
      </c>
      <c r="B44" t="s">
        <v>234</v>
      </c>
      <c r="C44" t="s">
        <v>235</v>
      </c>
      <c r="D44">
        <v>3</v>
      </c>
      <c r="E44">
        <v>9500</v>
      </c>
      <c r="F44">
        <v>28500</v>
      </c>
      <c r="G44" t="s">
        <v>23</v>
      </c>
      <c r="H44" t="s">
        <v>174</v>
      </c>
      <c r="I44" t="s">
        <v>175</v>
      </c>
      <c r="J44" t="s">
        <v>26</v>
      </c>
      <c r="K44" t="s">
        <v>236</v>
      </c>
      <c r="L44" t="s">
        <v>28</v>
      </c>
      <c r="M44" t="s">
        <v>237</v>
      </c>
      <c r="N44" t="s">
        <v>238</v>
      </c>
      <c r="O44">
        <v>3025.17</v>
      </c>
      <c r="Q44">
        <v>4537.76</v>
      </c>
      <c r="R44"/>
      <c r="S44">
        <v>13613.28</v>
      </c>
      <c r="T44">
        <v>1512.59</v>
      </c>
      <c r="U44">
        <v>13613.28</v>
      </c>
      <c r="V44" t="s">
        <v>239</v>
      </c>
      <c r="W44" t="s">
        <v>240</v>
      </c>
    </row>
    <row r="45" spans="1:23" hidden="1" x14ac:dyDescent="0.3">
      <c r="A45">
        <v>12</v>
      </c>
      <c r="B45" t="s">
        <v>241</v>
      </c>
      <c r="C45" t="s">
        <v>242</v>
      </c>
      <c r="D45">
        <v>2</v>
      </c>
      <c r="E45">
        <v>10090</v>
      </c>
      <c r="F45">
        <v>20180</v>
      </c>
      <c r="G45" t="s">
        <v>23</v>
      </c>
      <c r="H45" t="s">
        <v>174</v>
      </c>
      <c r="I45" t="s">
        <v>175</v>
      </c>
      <c r="J45" t="s">
        <v>26</v>
      </c>
      <c r="K45" t="s">
        <v>243</v>
      </c>
      <c r="L45" t="s">
        <v>28</v>
      </c>
      <c r="M45" t="s">
        <v>244</v>
      </c>
      <c r="N45" t="s">
        <v>245</v>
      </c>
      <c r="O45">
        <v>2535.3000000000002</v>
      </c>
      <c r="Q45">
        <v>3802.95</v>
      </c>
      <c r="R45"/>
      <c r="S45">
        <v>7605.9</v>
      </c>
      <c r="T45">
        <v>1267.6500000000001</v>
      </c>
      <c r="U45">
        <v>7605.9</v>
      </c>
      <c r="V45" t="s">
        <v>246</v>
      </c>
      <c r="W45" t="s">
        <v>247</v>
      </c>
    </row>
    <row r="46" spans="1:23" hidden="1" x14ac:dyDescent="0.3">
      <c r="A46">
        <v>13</v>
      </c>
      <c r="B46" t="s">
        <v>248</v>
      </c>
      <c r="C46" t="s">
        <v>249</v>
      </c>
      <c r="D46">
        <v>5</v>
      </c>
      <c r="E46">
        <v>5300</v>
      </c>
      <c r="F46">
        <v>26500</v>
      </c>
      <c r="G46" t="s">
        <v>23</v>
      </c>
      <c r="H46" t="s">
        <v>181</v>
      </c>
      <c r="I46" t="s">
        <v>175</v>
      </c>
      <c r="J46" t="s">
        <v>26</v>
      </c>
      <c r="K46" t="s">
        <v>250</v>
      </c>
      <c r="L46" t="s">
        <v>28</v>
      </c>
      <c r="M46" t="s">
        <v>251</v>
      </c>
      <c r="N46" t="s">
        <v>252</v>
      </c>
      <c r="O46">
        <v>2250</v>
      </c>
      <c r="Q46">
        <v>3375</v>
      </c>
      <c r="R46"/>
      <c r="S46">
        <v>16875</v>
      </c>
      <c r="T46">
        <v>1125</v>
      </c>
      <c r="U46">
        <v>16875</v>
      </c>
      <c r="V46" t="s">
        <v>253</v>
      </c>
      <c r="W46" t="s">
        <v>254</v>
      </c>
    </row>
    <row r="47" spans="1:23" hidden="1" x14ac:dyDescent="0.3">
      <c r="A47">
        <v>14</v>
      </c>
      <c r="B47" t="s">
        <v>255</v>
      </c>
      <c r="C47" t="s">
        <v>256</v>
      </c>
      <c r="D47">
        <v>3</v>
      </c>
      <c r="E47">
        <v>3045</v>
      </c>
      <c r="F47">
        <v>9135</v>
      </c>
      <c r="G47" t="s">
        <v>23</v>
      </c>
      <c r="H47" t="s">
        <v>174</v>
      </c>
      <c r="I47" t="s">
        <v>175</v>
      </c>
      <c r="J47" t="s">
        <v>26</v>
      </c>
      <c r="K47" t="s">
        <v>257</v>
      </c>
      <c r="L47" t="s">
        <v>28</v>
      </c>
      <c r="M47" t="s">
        <v>258</v>
      </c>
      <c r="N47" t="s">
        <v>259</v>
      </c>
      <c r="O47">
        <v>1949</v>
      </c>
      <c r="Q47">
        <v>2923.5</v>
      </c>
      <c r="R47"/>
      <c r="S47">
        <v>8770.5</v>
      </c>
      <c r="T47">
        <v>974.5</v>
      </c>
      <c r="U47">
        <v>8770.5</v>
      </c>
      <c r="V47" t="s">
        <v>260</v>
      </c>
      <c r="W47" t="s">
        <v>261</v>
      </c>
    </row>
    <row r="48" spans="1:23" hidden="1" x14ac:dyDescent="0.3">
      <c r="A48">
        <v>15</v>
      </c>
      <c r="B48" t="s">
        <v>262</v>
      </c>
      <c r="C48" t="s">
        <v>263</v>
      </c>
      <c r="D48">
        <v>3</v>
      </c>
      <c r="E48">
        <v>2699.43</v>
      </c>
      <c r="F48">
        <v>8098.29</v>
      </c>
      <c r="G48" t="s">
        <v>23</v>
      </c>
      <c r="H48" t="s">
        <v>174</v>
      </c>
      <c r="I48" t="s">
        <v>175</v>
      </c>
      <c r="J48" t="s">
        <v>26</v>
      </c>
      <c r="K48" t="s">
        <v>264</v>
      </c>
      <c r="L48" t="s">
        <v>28</v>
      </c>
      <c r="M48" t="s">
        <v>258</v>
      </c>
      <c r="N48" t="s">
        <v>265</v>
      </c>
      <c r="O48">
        <v>3183</v>
      </c>
      <c r="Q48">
        <v>4774.5</v>
      </c>
      <c r="R48"/>
      <c r="S48">
        <v>14323.5</v>
      </c>
      <c r="T48">
        <v>1591.5</v>
      </c>
      <c r="U48">
        <v>14323.5</v>
      </c>
      <c r="V48" t="s">
        <v>266</v>
      </c>
      <c r="W48" t="s">
        <v>267</v>
      </c>
    </row>
    <row r="49" spans="1:23" hidden="1" x14ac:dyDescent="0.3">
      <c r="A49">
        <v>16</v>
      </c>
      <c r="B49" t="s">
        <v>268</v>
      </c>
      <c r="C49" t="s">
        <v>269</v>
      </c>
      <c r="D49">
        <v>1</v>
      </c>
      <c r="E49">
        <v>6072.92</v>
      </c>
      <c r="F49">
        <v>6072.92</v>
      </c>
      <c r="G49" t="s">
        <v>23</v>
      </c>
      <c r="H49" t="s">
        <v>174</v>
      </c>
      <c r="I49" t="s">
        <v>175</v>
      </c>
      <c r="J49" t="s">
        <v>26</v>
      </c>
      <c r="K49" t="s">
        <v>270</v>
      </c>
      <c r="L49" t="s">
        <v>28</v>
      </c>
      <c r="M49" t="s">
        <v>271</v>
      </c>
      <c r="N49" t="s">
        <v>272</v>
      </c>
      <c r="O49">
        <v>3841.44</v>
      </c>
      <c r="Q49">
        <v>5762.16</v>
      </c>
      <c r="R49"/>
      <c r="S49">
        <v>5762.16</v>
      </c>
      <c r="T49">
        <v>1920.72</v>
      </c>
      <c r="U49">
        <v>5762.16</v>
      </c>
      <c r="V49" t="s">
        <v>273</v>
      </c>
      <c r="W49" t="s">
        <v>274</v>
      </c>
    </row>
    <row r="50" spans="1:23" hidden="1" x14ac:dyDescent="0.3">
      <c r="A50">
        <v>17</v>
      </c>
      <c r="B50" t="s">
        <v>275</v>
      </c>
      <c r="C50" t="s">
        <v>276</v>
      </c>
      <c r="D50">
        <v>60</v>
      </c>
      <c r="E50">
        <v>232</v>
      </c>
      <c r="F50">
        <v>13920</v>
      </c>
      <c r="G50" t="s">
        <v>23</v>
      </c>
      <c r="H50" t="s">
        <v>174</v>
      </c>
      <c r="I50" t="s">
        <v>175</v>
      </c>
      <c r="J50" t="s">
        <v>26</v>
      </c>
      <c r="K50" t="s">
        <v>277</v>
      </c>
      <c r="L50" t="s">
        <v>164</v>
      </c>
      <c r="M50" t="s">
        <v>278</v>
      </c>
      <c r="N50" t="s">
        <v>279</v>
      </c>
      <c r="O50">
        <v>67.900000000000006</v>
      </c>
      <c r="Q50">
        <v>101.85</v>
      </c>
      <c r="R50"/>
      <c r="S50">
        <v>6111</v>
      </c>
      <c r="T50">
        <v>33.950000000000003</v>
      </c>
      <c r="U50">
        <v>6111</v>
      </c>
      <c r="V50" t="s">
        <v>280</v>
      </c>
    </row>
    <row r="51" spans="1:23" hidden="1" x14ac:dyDescent="0.3">
      <c r="A51">
        <v>18</v>
      </c>
      <c r="B51" t="s">
        <v>281</v>
      </c>
      <c r="C51" t="s">
        <v>282</v>
      </c>
      <c r="D51">
        <v>12</v>
      </c>
      <c r="E51">
        <v>1200</v>
      </c>
      <c r="F51">
        <v>14400</v>
      </c>
      <c r="G51" t="s">
        <v>23</v>
      </c>
      <c r="H51" t="s">
        <v>181</v>
      </c>
      <c r="I51" t="s">
        <v>175</v>
      </c>
      <c r="J51" t="s">
        <v>26</v>
      </c>
      <c r="K51" t="s">
        <v>283</v>
      </c>
      <c r="L51" t="s">
        <v>28</v>
      </c>
      <c r="M51" t="s">
        <v>29</v>
      </c>
      <c r="N51" t="s">
        <v>284</v>
      </c>
      <c r="O51">
        <v>712.99</v>
      </c>
      <c r="Q51">
        <v>1069.49</v>
      </c>
      <c r="R51"/>
      <c r="S51">
        <v>12833.88</v>
      </c>
      <c r="T51">
        <v>356.5</v>
      </c>
      <c r="U51">
        <v>12833.88</v>
      </c>
      <c r="V51" t="s">
        <v>285</v>
      </c>
    </row>
    <row r="52" spans="1:23" hidden="1" x14ac:dyDescent="0.3">
      <c r="A52">
        <v>19</v>
      </c>
      <c r="B52" t="s">
        <v>286</v>
      </c>
      <c r="C52" t="s">
        <v>287</v>
      </c>
      <c r="D52">
        <v>4</v>
      </c>
      <c r="E52">
        <v>908</v>
      </c>
      <c r="F52">
        <v>3632</v>
      </c>
      <c r="G52" t="s">
        <v>23</v>
      </c>
      <c r="H52" t="s">
        <v>174</v>
      </c>
      <c r="I52" t="s">
        <v>175</v>
      </c>
      <c r="J52" t="s">
        <v>26</v>
      </c>
      <c r="K52" t="s">
        <v>288</v>
      </c>
      <c r="L52" t="s">
        <v>28</v>
      </c>
      <c r="M52" t="s">
        <v>213</v>
      </c>
      <c r="N52" t="s">
        <v>289</v>
      </c>
      <c r="O52">
        <v>981</v>
      </c>
      <c r="Q52">
        <v>1471.5</v>
      </c>
      <c r="R52"/>
      <c r="S52">
        <v>5886</v>
      </c>
      <c r="T52">
        <v>490.5</v>
      </c>
      <c r="U52">
        <v>5886</v>
      </c>
      <c r="V52" t="s">
        <v>290</v>
      </c>
      <c r="W52" t="s">
        <v>291</v>
      </c>
    </row>
    <row r="53" spans="1:23" hidden="1" x14ac:dyDescent="0.3">
      <c r="A53">
        <v>20</v>
      </c>
      <c r="B53" t="s">
        <v>168</v>
      </c>
      <c r="C53" t="s">
        <v>292</v>
      </c>
      <c r="D53">
        <v>4</v>
      </c>
      <c r="E53">
        <v>1235</v>
      </c>
      <c r="F53">
        <v>4940</v>
      </c>
      <c r="G53" t="s">
        <v>23</v>
      </c>
      <c r="H53" t="s">
        <v>181</v>
      </c>
      <c r="I53" t="s">
        <v>175</v>
      </c>
      <c r="J53" t="s">
        <v>26</v>
      </c>
      <c r="K53" t="s">
        <v>293</v>
      </c>
      <c r="L53" t="s">
        <v>28</v>
      </c>
      <c r="M53" t="s">
        <v>52</v>
      </c>
      <c r="N53" t="s">
        <v>294</v>
      </c>
      <c r="O53">
        <v>734.13</v>
      </c>
      <c r="Q53">
        <v>1101.19</v>
      </c>
      <c r="R53"/>
      <c r="S53">
        <v>4404.76</v>
      </c>
      <c r="T53">
        <v>367.06</v>
      </c>
      <c r="U53">
        <v>4404.76</v>
      </c>
      <c r="V53" t="s">
        <v>295</v>
      </c>
      <c r="W53" t="s">
        <v>296</v>
      </c>
    </row>
    <row r="54" spans="1:23" hidden="1" x14ac:dyDescent="0.3">
      <c r="A54">
        <v>21</v>
      </c>
      <c r="B54" t="s">
        <v>297</v>
      </c>
      <c r="C54" t="s">
        <v>298</v>
      </c>
      <c r="D54">
        <v>3</v>
      </c>
      <c r="E54">
        <v>4789</v>
      </c>
      <c r="F54">
        <v>14367</v>
      </c>
      <c r="G54" t="s">
        <v>23</v>
      </c>
      <c r="H54" t="s">
        <v>174</v>
      </c>
      <c r="I54" t="s">
        <v>175</v>
      </c>
      <c r="J54" t="s">
        <v>26</v>
      </c>
      <c r="K54" t="s">
        <v>299</v>
      </c>
      <c r="L54" t="s">
        <v>28</v>
      </c>
      <c r="M54" t="s">
        <v>300</v>
      </c>
      <c r="N54" t="s">
        <v>301</v>
      </c>
      <c r="O54">
        <v>3212.94</v>
      </c>
      <c r="Q54">
        <v>4819.41</v>
      </c>
      <c r="R54"/>
      <c r="S54">
        <v>14458.23</v>
      </c>
      <c r="T54">
        <v>1606.47</v>
      </c>
      <c r="U54">
        <v>14458.23</v>
      </c>
      <c r="V54" t="s">
        <v>302</v>
      </c>
      <c r="W54" t="s">
        <v>303</v>
      </c>
    </row>
    <row r="55" spans="1:23" hidden="1" x14ac:dyDescent="0.3">
      <c r="A55">
        <v>22</v>
      </c>
      <c r="B55" t="s">
        <v>304</v>
      </c>
      <c r="C55" t="s">
        <v>305</v>
      </c>
      <c r="D55">
        <v>3</v>
      </c>
      <c r="E55">
        <v>160</v>
      </c>
      <c r="F55">
        <v>480</v>
      </c>
      <c r="G55" t="s">
        <v>23</v>
      </c>
      <c r="H55" t="s">
        <v>174</v>
      </c>
      <c r="I55" t="s">
        <v>175</v>
      </c>
      <c r="J55" t="s">
        <v>26</v>
      </c>
      <c r="K55" t="s">
        <v>306</v>
      </c>
      <c r="L55" t="s">
        <v>28</v>
      </c>
      <c r="M55" t="s">
        <v>307</v>
      </c>
      <c r="N55" t="s">
        <v>308</v>
      </c>
      <c r="O55">
        <v>120</v>
      </c>
      <c r="Q55">
        <v>180</v>
      </c>
      <c r="R55"/>
      <c r="S55">
        <v>540</v>
      </c>
      <c r="T55">
        <v>60</v>
      </c>
      <c r="U55">
        <v>540</v>
      </c>
      <c r="V55" t="s">
        <v>309</v>
      </c>
      <c r="W55" t="s">
        <v>310</v>
      </c>
    </row>
    <row r="56" spans="1:23" hidden="1" x14ac:dyDescent="0.3">
      <c r="A56">
        <v>23</v>
      </c>
      <c r="B56" t="s">
        <v>311</v>
      </c>
      <c r="C56" t="s">
        <v>312</v>
      </c>
      <c r="D56">
        <v>1</v>
      </c>
      <c r="E56">
        <v>7499.68</v>
      </c>
      <c r="F56">
        <v>7499.68</v>
      </c>
      <c r="G56" t="s">
        <v>23</v>
      </c>
      <c r="H56" t="s">
        <v>174</v>
      </c>
      <c r="I56" t="s">
        <v>175</v>
      </c>
      <c r="J56" t="s">
        <v>26</v>
      </c>
      <c r="K56" t="s">
        <v>27</v>
      </c>
      <c r="L56" t="s">
        <v>28</v>
      </c>
      <c r="M56" t="s">
        <v>313</v>
      </c>
      <c r="N56" t="s">
        <v>314</v>
      </c>
      <c r="O56">
        <v>2614.0500000000002</v>
      </c>
      <c r="Q56">
        <v>3921.08</v>
      </c>
      <c r="R56"/>
      <c r="S56">
        <v>3921.08</v>
      </c>
      <c r="T56">
        <v>1307.03</v>
      </c>
      <c r="U56">
        <v>3921.08</v>
      </c>
      <c r="V56" t="s">
        <v>315</v>
      </c>
      <c r="W56" t="s">
        <v>316</v>
      </c>
    </row>
    <row r="57" spans="1:23" hidden="1" x14ac:dyDescent="0.3">
      <c r="A57">
        <v>24</v>
      </c>
      <c r="B57" t="s">
        <v>317</v>
      </c>
      <c r="C57" t="s">
        <v>318</v>
      </c>
      <c r="D57">
        <v>7</v>
      </c>
      <c r="E57">
        <v>62</v>
      </c>
      <c r="F57">
        <v>434</v>
      </c>
      <c r="G57" t="s">
        <v>23</v>
      </c>
      <c r="H57" t="s">
        <v>181</v>
      </c>
      <c r="I57" t="s">
        <v>175</v>
      </c>
      <c r="J57" t="s">
        <v>26</v>
      </c>
      <c r="K57" t="s">
        <v>319</v>
      </c>
      <c r="L57" t="s">
        <v>164</v>
      </c>
      <c r="M57" t="s">
        <v>278</v>
      </c>
      <c r="N57" t="s">
        <v>320</v>
      </c>
      <c r="O57">
        <v>36.9</v>
      </c>
      <c r="Q57">
        <v>55.35</v>
      </c>
      <c r="R57"/>
      <c r="S57">
        <v>387.45</v>
      </c>
      <c r="T57">
        <v>18.45</v>
      </c>
      <c r="U57">
        <v>387.45</v>
      </c>
      <c r="V57" t="s">
        <v>321</v>
      </c>
    </row>
    <row r="58" spans="1:23" hidden="1" x14ac:dyDescent="0.3">
      <c r="A58">
        <v>25</v>
      </c>
      <c r="B58" t="s">
        <v>322</v>
      </c>
      <c r="C58" t="s">
        <v>323</v>
      </c>
      <c r="D58">
        <v>13</v>
      </c>
      <c r="E58">
        <v>192</v>
      </c>
      <c r="F58">
        <v>2496</v>
      </c>
      <c r="G58" t="s">
        <v>23</v>
      </c>
      <c r="H58" t="s">
        <v>181</v>
      </c>
      <c r="I58" t="s">
        <v>175</v>
      </c>
      <c r="J58" t="s">
        <v>26</v>
      </c>
      <c r="K58" t="s">
        <v>324</v>
      </c>
      <c r="L58" t="s">
        <v>28</v>
      </c>
      <c r="M58" t="s">
        <v>307</v>
      </c>
      <c r="N58" t="s">
        <v>325</v>
      </c>
      <c r="O58">
        <v>90.3</v>
      </c>
      <c r="Q58">
        <v>135.44999999999999</v>
      </c>
      <c r="R58"/>
      <c r="S58">
        <v>1760.85</v>
      </c>
      <c r="T58">
        <v>45.15</v>
      </c>
      <c r="U58">
        <v>1760.85</v>
      </c>
      <c r="V58" t="s">
        <v>326</v>
      </c>
    </row>
    <row r="59" spans="1:23" hidden="1" x14ac:dyDescent="0.3">
      <c r="A59">
        <v>26</v>
      </c>
      <c r="B59" t="s">
        <v>327</v>
      </c>
      <c r="C59" t="s">
        <v>328</v>
      </c>
      <c r="D59">
        <v>12</v>
      </c>
      <c r="E59">
        <v>299.88</v>
      </c>
      <c r="F59">
        <v>3598.56</v>
      </c>
      <c r="G59" t="s">
        <v>23</v>
      </c>
      <c r="H59" t="s">
        <v>181</v>
      </c>
      <c r="I59" t="s">
        <v>175</v>
      </c>
      <c r="J59" t="s">
        <v>26</v>
      </c>
      <c r="K59" t="s">
        <v>329</v>
      </c>
      <c r="L59" t="s">
        <v>28</v>
      </c>
      <c r="M59" t="s">
        <v>307</v>
      </c>
      <c r="N59" t="s">
        <v>330</v>
      </c>
      <c r="O59">
        <v>68.7</v>
      </c>
      <c r="Q59">
        <v>103.05</v>
      </c>
      <c r="R59"/>
      <c r="S59">
        <v>1236.5999999999999</v>
      </c>
      <c r="T59">
        <v>34.35</v>
      </c>
      <c r="U59">
        <v>1236.5999999999999</v>
      </c>
      <c r="V59" t="s">
        <v>331</v>
      </c>
      <c r="W59" t="s">
        <v>332</v>
      </c>
    </row>
    <row r="60" spans="1:23" hidden="1" x14ac:dyDescent="0.3">
      <c r="A60">
        <v>27</v>
      </c>
      <c r="B60" t="s">
        <v>333</v>
      </c>
      <c r="C60" t="s">
        <v>334</v>
      </c>
      <c r="D60">
        <v>11</v>
      </c>
      <c r="E60">
        <v>197.91</v>
      </c>
      <c r="F60">
        <v>2177.0100000000002</v>
      </c>
      <c r="G60" t="s">
        <v>23</v>
      </c>
      <c r="H60" t="s">
        <v>181</v>
      </c>
      <c r="I60" t="s">
        <v>175</v>
      </c>
      <c r="J60" t="s">
        <v>26</v>
      </c>
      <c r="K60" t="s">
        <v>335</v>
      </c>
      <c r="L60" t="s">
        <v>28</v>
      </c>
      <c r="M60" t="s">
        <v>40</v>
      </c>
      <c r="N60" t="s">
        <v>336</v>
      </c>
      <c r="O60">
        <v>61.99</v>
      </c>
      <c r="Q60">
        <v>92.98</v>
      </c>
      <c r="R60"/>
      <c r="S60">
        <v>1022.78</v>
      </c>
      <c r="T60">
        <v>30.99</v>
      </c>
      <c r="U60">
        <v>1022.78</v>
      </c>
      <c r="V60" t="s">
        <v>337</v>
      </c>
    </row>
    <row r="61" spans="1:23" hidden="1" x14ac:dyDescent="0.3">
      <c r="A61">
        <v>28</v>
      </c>
      <c r="B61" t="s">
        <v>338</v>
      </c>
      <c r="C61" t="s">
        <v>339</v>
      </c>
      <c r="D61">
        <v>9</v>
      </c>
      <c r="E61">
        <v>179.9</v>
      </c>
      <c r="F61">
        <v>1619.1</v>
      </c>
      <c r="G61" t="s">
        <v>23</v>
      </c>
      <c r="H61" t="s">
        <v>181</v>
      </c>
      <c r="I61" t="s">
        <v>175</v>
      </c>
      <c r="J61" t="s">
        <v>26</v>
      </c>
      <c r="K61" t="s">
        <v>340</v>
      </c>
      <c r="L61" t="s">
        <v>28</v>
      </c>
      <c r="M61" t="s">
        <v>278</v>
      </c>
      <c r="N61" t="s">
        <v>341</v>
      </c>
      <c r="O61">
        <v>72.5</v>
      </c>
      <c r="Q61">
        <v>108.75</v>
      </c>
      <c r="R61"/>
      <c r="S61">
        <v>978.75</v>
      </c>
      <c r="T61">
        <v>36.25</v>
      </c>
      <c r="U61">
        <v>978.75</v>
      </c>
      <c r="V61" t="s">
        <v>342</v>
      </c>
    </row>
    <row r="62" spans="1:23" hidden="1" x14ac:dyDescent="0.3">
      <c r="A62">
        <v>29</v>
      </c>
      <c r="B62" t="s">
        <v>343</v>
      </c>
      <c r="C62" t="s">
        <v>344</v>
      </c>
      <c r="D62">
        <v>27</v>
      </c>
      <c r="E62">
        <v>79.83</v>
      </c>
      <c r="F62">
        <v>2155.41</v>
      </c>
      <c r="G62" t="s">
        <v>23</v>
      </c>
      <c r="H62" t="s">
        <v>181</v>
      </c>
      <c r="I62" t="s">
        <v>175</v>
      </c>
      <c r="J62" t="s">
        <v>26</v>
      </c>
      <c r="K62" t="s">
        <v>345</v>
      </c>
      <c r="L62" t="s">
        <v>28</v>
      </c>
      <c r="M62" t="s">
        <v>346</v>
      </c>
      <c r="N62" t="s">
        <v>347</v>
      </c>
      <c r="O62">
        <v>70.400000000000006</v>
      </c>
      <c r="Q62">
        <v>105.6</v>
      </c>
      <c r="R62"/>
      <c r="S62">
        <v>2851.2</v>
      </c>
      <c r="T62">
        <v>35.200000000000003</v>
      </c>
      <c r="U62">
        <v>2851.2</v>
      </c>
      <c r="V62" t="s">
        <v>348</v>
      </c>
      <c r="W62" t="s">
        <v>349</v>
      </c>
    </row>
    <row r="63" spans="1:23" hidden="1" x14ac:dyDescent="0.3">
      <c r="A63">
        <v>30</v>
      </c>
      <c r="B63" t="s">
        <v>350</v>
      </c>
      <c r="C63" t="s">
        <v>351</v>
      </c>
      <c r="D63">
        <v>49</v>
      </c>
      <c r="E63">
        <v>39.299999999999997</v>
      </c>
      <c r="F63">
        <v>1925.7</v>
      </c>
      <c r="G63" t="s">
        <v>23</v>
      </c>
      <c r="H63" t="s">
        <v>181</v>
      </c>
      <c r="I63" t="s">
        <v>175</v>
      </c>
      <c r="J63" t="s">
        <v>26</v>
      </c>
      <c r="K63" t="s">
        <v>352</v>
      </c>
      <c r="L63" t="s">
        <v>164</v>
      </c>
      <c r="M63" t="s">
        <v>61</v>
      </c>
      <c r="N63" t="s">
        <v>353</v>
      </c>
      <c r="O63">
        <v>27.3</v>
      </c>
      <c r="Q63">
        <v>40.950000000000003</v>
      </c>
      <c r="R63"/>
      <c r="S63">
        <v>2006.55</v>
      </c>
      <c r="T63">
        <v>13.65</v>
      </c>
      <c r="U63">
        <v>2006.55</v>
      </c>
      <c r="V63" t="s">
        <v>354</v>
      </c>
    </row>
    <row r="64" spans="1:23" hidden="1" x14ac:dyDescent="0.3">
      <c r="A64">
        <v>31</v>
      </c>
      <c r="B64" t="s">
        <v>355</v>
      </c>
      <c r="C64" t="s">
        <v>356</v>
      </c>
      <c r="D64">
        <v>310</v>
      </c>
      <c r="E64">
        <v>38</v>
      </c>
      <c r="F64">
        <v>11780</v>
      </c>
      <c r="G64" t="s">
        <v>23</v>
      </c>
      <c r="H64" t="s">
        <v>181</v>
      </c>
      <c r="I64" t="s">
        <v>175</v>
      </c>
      <c r="J64" t="s">
        <v>26</v>
      </c>
      <c r="K64" t="s">
        <v>357</v>
      </c>
      <c r="L64" t="s">
        <v>164</v>
      </c>
      <c r="M64" t="s">
        <v>358</v>
      </c>
      <c r="N64" t="s">
        <v>359</v>
      </c>
      <c r="O64">
        <v>23.4</v>
      </c>
      <c r="Q64">
        <v>35.1</v>
      </c>
      <c r="R64"/>
      <c r="S64">
        <v>10881</v>
      </c>
      <c r="T64">
        <v>11.7</v>
      </c>
      <c r="U64">
        <v>10881</v>
      </c>
      <c r="V64" t="s">
        <v>360</v>
      </c>
    </row>
    <row r="65" spans="1:23" hidden="1" x14ac:dyDescent="0.3">
      <c r="A65">
        <v>32</v>
      </c>
      <c r="B65" t="s">
        <v>361</v>
      </c>
      <c r="C65" t="s">
        <v>362</v>
      </c>
      <c r="D65">
        <v>220</v>
      </c>
      <c r="E65">
        <v>39.99</v>
      </c>
      <c r="F65">
        <v>8797.7999999999993</v>
      </c>
      <c r="G65" t="s">
        <v>23</v>
      </c>
      <c r="H65" t="s">
        <v>181</v>
      </c>
      <c r="I65" t="s">
        <v>175</v>
      </c>
      <c r="J65" t="s">
        <v>26</v>
      </c>
      <c r="K65" t="s">
        <v>363</v>
      </c>
      <c r="L65" t="s">
        <v>28</v>
      </c>
      <c r="M65" t="s">
        <v>358</v>
      </c>
      <c r="N65" t="s">
        <v>364</v>
      </c>
      <c r="O65">
        <v>298.02</v>
      </c>
      <c r="Q65">
        <v>447.03</v>
      </c>
      <c r="R65"/>
      <c r="S65">
        <v>98346.6</v>
      </c>
      <c r="T65">
        <v>149.01</v>
      </c>
      <c r="U65">
        <v>98346.6</v>
      </c>
      <c r="V65" t="s">
        <v>365</v>
      </c>
      <c r="W65" t="s">
        <v>366</v>
      </c>
    </row>
    <row r="66" spans="1:23" hidden="1" x14ac:dyDescent="0.3">
      <c r="A66">
        <v>33</v>
      </c>
      <c r="B66" t="s">
        <v>367</v>
      </c>
      <c r="C66" t="s">
        <v>368</v>
      </c>
      <c r="D66">
        <v>200</v>
      </c>
      <c r="E66">
        <v>41.82</v>
      </c>
      <c r="F66">
        <v>8364</v>
      </c>
      <c r="G66" t="s">
        <v>23</v>
      </c>
      <c r="H66" t="s">
        <v>181</v>
      </c>
      <c r="I66" t="s">
        <v>175</v>
      </c>
      <c r="J66" t="s">
        <v>26</v>
      </c>
      <c r="K66" t="s">
        <v>363</v>
      </c>
      <c r="L66" t="s">
        <v>28</v>
      </c>
      <c r="M66" t="s">
        <v>358</v>
      </c>
      <c r="N66" t="s">
        <v>369</v>
      </c>
      <c r="O66">
        <v>42.66</v>
      </c>
      <c r="Q66">
        <v>63.99</v>
      </c>
      <c r="R66"/>
      <c r="S66">
        <v>12798</v>
      </c>
      <c r="T66">
        <v>21.33</v>
      </c>
      <c r="U66">
        <v>12798</v>
      </c>
      <c r="V66" t="s">
        <v>370</v>
      </c>
      <c r="W66" t="s">
        <v>371</v>
      </c>
    </row>
    <row r="67" spans="1:23" hidden="1" x14ac:dyDescent="0.3">
      <c r="A67">
        <v>34</v>
      </c>
      <c r="B67" t="s">
        <v>372</v>
      </c>
      <c r="C67" t="s">
        <v>373</v>
      </c>
      <c r="D67">
        <v>40</v>
      </c>
      <c r="E67">
        <v>67</v>
      </c>
      <c r="F67">
        <v>2680</v>
      </c>
      <c r="G67" t="s">
        <v>23</v>
      </c>
      <c r="H67" t="s">
        <v>181</v>
      </c>
      <c r="I67" t="s">
        <v>175</v>
      </c>
      <c r="J67" t="s">
        <v>26</v>
      </c>
      <c r="K67" t="s">
        <v>374</v>
      </c>
      <c r="L67" t="s">
        <v>28</v>
      </c>
      <c r="M67" t="s">
        <v>61</v>
      </c>
      <c r="N67" t="s">
        <v>375</v>
      </c>
      <c r="O67">
        <v>42.45</v>
      </c>
      <c r="Q67">
        <v>63.68</v>
      </c>
      <c r="R67"/>
      <c r="S67">
        <v>2547.1999999999998</v>
      </c>
      <c r="T67">
        <v>21.23</v>
      </c>
      <c r="U67">
        <v>2547.1999999999998</v>
      </c>
      <c r="V67" t="s">
        <v>376</v>
      </c>
      <c r="W67" t="s">
        <v>377</v>
      </c>
    </row>
    <row r="68" spans="1:23" hidden="1" x14ac:dyDescent="0.3">
      <c r="A68">
        <v>35</v>
      </c>
      <c r="B68" t="s">
        <v>378</v>
      </c>
      <c r="C68" t="s">
        <v>379</v>
      </c>
      <c r="D68">
        <v>12</v>
      </c>
      <c r="E68">
        <v>274.51</v>
      </c>
      <c r="F68">
        <v>3294.12</v>
      </c>
      <c r="G68" t="s">
        <v>23</v>
      </c>
      <c r="H68" t="s">
        <v>181</v>
      </c>
      <c r="I68" t="s">
        <v>175</v>
      </c>
      <c r="J68" t="s">
        <v>26</v>
      </c>
      <c r="K68" t="s">
        <v>27</v>
      </c>
      <c r="L68" t="s">
        <v>159</v>
      </c>
      <c r="M68" t="s">
        <v>27</v>
      </c>
      <c r="N68" t="s">
        <v>27</v>
      </c>
      <c r="O68">
        <v>0</v>
      </c>
      <c r="Q68">
        <v>0</v>
      </c>
      <c r="R68"/>
      <c r="S68">
        <v>0</v>
      </c>
      <c r="T68">
        <v>0</v>
      </c>
      <c r="U68">
        <v>0</v>
      </c>
      <c r="V68" t="s">
        <v>380</v>
      </c>
      <c r="W68" t="s">
        <v>381</v>
      </c>
    </row>
    <row r="69" spans="1:23" hidden="1" x14ac:dyDescent="0.3">
      <c r="A69">
        <v>36</v>
      </c>
      <c r="B69" t="s">
        <v>378</v>
      </c>
      <c r="C69" t="s">
        <v>382</v>
      </c>
      <c r="D69">
        <v>12</v>
      </c>
      <c r="E69">
        <v>274.51</v>
      </c>
      <c r="F69">
        <v>3294.12</v>
      </c>
      <c r="G69" t="s">
        <v>23</v>
      </c>
      <c r="H69" t="s">
        <v>181</v>
      </c>
      <c r="I69" t="s">
        <v>175</v>
      </c>
      <c r="J69" t="s">
        <v>26</v>
      </c>
      <c r="K69" t="s">
        <v>383</v>
      </c>
      <c r="L69" t="s">
        <v>159</v>
      </c>
      <c r="M69" t="s">
        <v>27</v>
      </c>
      <c r="N69" t="s">
        <v>27</v>
      </c>
      <c r="O69">
        <v>0</v>
      </c>
      <c r="Q69">
        <v>0</v>
      </c>
      <c r="R69"/>
      <c r="S69">
        <v>0</v>
      </c>
      <c r="T69">
        <v>0</v>
      </c>
      <c r="U69">
        <v>0</v>
      </c>
      <c r="V69" t="s">
        <v>384</v>
      </c>
      <c r="W69" t="s">
        <v>385</v>
      </c>
    </row>
    <row r="70" spans="1:23" hidden="1" x14ac:dyDescent="0.3">
      <c r="A70">
        <v>37</v>
      </c>
      <c r="B70" t="s">
        <v>386</v>
      </c>
      <c r="C70" t="s">
        <v>387</v>
      </c>
      <c r="D70">
        <v>2</v>
      </c>
      <c r="E70">
        <v>2929</v>
      </c>
      <c r="F70">
        <v>5858</v>
      </c>
      <c r="G70" t="s">
        <v>23</v>
      </c>
      <c r="H70" t="s">
        <v>174</v>
      </c>
      <c r="I70" t="s">
        <v>175</v>
      </c>
      <c r="J70" t="s">
        <v>26</v>
      </c>
      <c r="K70" t="s">
        <v>388</v>
      </c>
      <c r="L70" t="s">
        <v>28</v>
      </c>
      <c r="M70" t="s">
        <v>213</v>
      </c>
      <c r="N70" t="s">
        <v>389</v>
      </c>
      <c r="O70">
        <v>1357</v>
      </c>
      <c r="Q70">
        <v>2035.5</v>
      </c>
      <c r="R70"/>
      <c r="S70">
        <v>4071</v>
      </c>
      <c r="T70">
        <v>678.5</v>
      </c>
      <c r="U70">
        <v>4071</v>
      </c>
      <c r="V70" t="s">
        <v>390</v>
      </c>
      <c r="W70" t="s">
        <v>391</v>
      </c>
    </row>
    <row r="71" spans="1:23" hidden="1" x14ac:dyDescent="0.3">
      <c r="A71">
        <v>38</v>
      </c>
      <c r="B71" t="s">
        <v>392</v>
      </c>
      <c r="C71" t="s">
        <v>393</v>
      </c>
      <c r="D71">
        <v>11</v>
      </c>
      <c r="E71">
        <v>174.99</v>
      </c>
      <c r="F71">
        <v>1924.89</v>
      </c>
      <c r="G71" t="s">
        <v>23</v>
      </c>
      <c r="H71" t="s">
        <v>181</v>
      </c>
      <c r="I71" t="s">
        <v>175</v>
      </c>
      <c r="J71" t="s">
        <v>26</v>
      </c>
      <c r="K71" t="s">
        <v>394</v>
      </c>
      <c r="L71" t="s">
        <v>159</v>
      </c>
      <c r="M71" t="s">
        <v>27</v>
      </c>
      <c r="N71" t="s">
        <v>27</v>
      </c>
      <c r="O71">
        <v>0</v>
      </c>
      <c r="Q71">
        <v>0</v>
      </c>
      <c r="R71"/>
      <c r="S71">
        <v>0</v>
      </c>
      <c r="T71">
        <v>0</v>
      </c>
      <c r="U71">
        <v>0</v>
      </c>
      <c r="V71" t="s">
        <v>395</v>
      </c>
      <c r="W71" t="s">
        <v>396</v>
      </c>
    </row>
    <row r="72" spans="1:23" hidden="1" x14ac:dyDescent="0.3">
      <c r="A72">
        <v>39</v>
      </c>
      <c r="B72" t="s">
        <v>397</v>
      </c>
      <c r="C72" t="s">
        <v>398</v>
      </c>
      <c r="D72">
        <v>11</v>
      </c>
      <c r="E72">
        <v>223.91</v>
      </c>
      <c r="F72">
        <v>2463.0100000000002</v>
      </c>
      <c r="G72" t="s">
        <v>23</v>
      </c>
      <c r="H72" t="s">
        <v>181</v>
      </c>
      <c r="I72" t="s">
        <v>175</v>
      </c>
      <c r="J72" t="s">
        <v>26</v>
      </c>
      <c r="K72" t="s">
        <v>394</v>
      </c>
      <c r="L72" t="s">
        <v>159</v>
      </c>
      <c r="M72" t="s">
        <v>27</v>
      </c>
      <c r="N72" t="s">
        <v>27</v>
      </c>
      <c r="O72">
        <v>0</v>
      </c>
      <c r="Q72">
        <v>0</v>
      </c>
      <c r="R72"/>
      <c r="S72">
        <v>0</v>
      </c>
      <c r="T72">
        <v>0</v>
      </c>
      <c r="U72">
        <v>0</v>
      </c>
      <c r="V72" t="s">
        <v>399</v>
      </c>
      <c r="W72" t="s">
        <v>400</v>
      </c>
    </row>
    <row r="73" spans="1:23" hidden="1" x14ac:dyDescent="0.3">
      <c r="A73">
        <v>40</v>
      </c>
      <c r="B73" t="s">
        <v>401</v>
      </c>
      <c r="C73" t="s">
        <v>402</v>
      </c>
      <c r="D73">
        <v>24</v>
      </c>
      <c r="E73">
        <v>283.95</v>
      </c>
      <c r="F73">
        <v>6814.8</v>
      </c>
      <c r="G73" t="s">
        <v>23</v>
      </c>
      <c r="H73" t="s">
        <v>181</v>
      </c>
      <c r="I73" t="s">
        <v>175</v>
      </c>
      <c r="J73" t="s">
        <v>26</v>
      </c>
      <c r="K73" t="s">
        <v>403</v>
      </c>
      <c r="L73" t="s">
        <v>159</v>
      </c>
      <c r="M73" t="s">
        <v>27</v>
      </c>
      <c r="N73" t="s">
        <v>27</v>
      </c>
      <c r="O73">
        <v>0</v>
      </c>
      <c r="Q73">
        <v>0</v>
      </c>
      <c r="R73"/>
      <c r="S73">
        <v>0</v>
      </c>
      <c r="T73">
        <v>0</v>
      </c>
      <c r="U73">
        <v>0</v>
      </c>
      <c r="V73" t="s">
        <v>404</v>
      </c>
      <c r="W73" t="s">
        <v>405</v>
      </c>
    </row>
    <row r="74" spans="1:23" hidden="1" x14ac:dyDescent="0.3">
      <c r="A74">
        <v>41</v>
      </c>
      <c r="B74" t="s">
        <v>406</v>
      </c>
      <c r="C74" t="s">
        <v>407</v>
      </c>
      <c r="D74">
        <v>15</v>
      </c>
      <c r="E74">
        <v>87.9</v>
      </c>
      <c r="F74">
        <v>1318.5</v>
      </c>
      <c r="G74" t="s">
        <v>23</v>
      </c>
      <c r="H74" t="s">
        <v>181</v>
      </c>
      <c r="I74" t="s">
        <v>175</v>
      </c>
      <c r="J74" t="s">
        <v>26</v>
      </c>
      <c r="K74" t="s">
        <v>408</v>
      </c>
      <c r="L74" t="s">
        <v>28</v>
      </c>
      <c r="M74" t="s">
        <v>278</v>
      </c>
      <c r="N74" t="s">
        <v>409</v>
      </c>
      <c r="O74">
        <v>59.9</v>
      </c>
      <c r="Q74">
        <v>89.85</v>
      </c>
      <c r="R74"/>
      <c r="S74">
        <v>1347.75</v>
      </c>
      <c r="T74">
        <v>29.95</v>
      </c>
      <c r="U74">
        <v>1347.75</v>
      </c>
      <c r="V74" t="s">
        <v>410</v>
      </c>
      <c r="W74" t="s">
        <v>411</v>
      </c>
    </row>
    <row r="75" spans="1:23" hidden="1" x14ac:dyDescent="0.3">
      <c r="A75">
        <v>42</v>
      </c>
      <c r="B75" t="s">
        <v>412</v>
      </c>
      <c r="C75" t="s">
        <v>413</v>
      </c>
      <c r="D75">
        <v>18</v>
      </c>
      <c r="E75">
        <v>275</v>
      </c>
      <c r="F75">
        <v>4950</v>
      </c>
      <c r="G75" t="s">
        <v>23</v>
      </c>
      <c r="H75" t="s">
        <v>181</v>
      </c>
      <c r="I75" t="s">
        <v>175</v>
      </c>
      <c r="J75" t="s">
        <v>26</v>
      </c>
      <c r="K75" t="s">
        <v>414</v>
      </c>
      <c r="L75" t="s">
        <v>159</v>
      </c>
      <c r="M75" t="s">
        <v>27</v>
      </c>
      <c r="N75" t="s">
        <v>27</v>
      </c>
      <c r="O75">
        <v>0</v>
      </c>
      <c r="Q75">
        <v>0</v>
      </c>
      <c r="R75"/>
      <c r="S75">
        <v>0</v>
      </c>
      <c r="T75">
        <v>0</v>
      </c>
      <c r="U75">
        <v>0</v>
      </c>
      <c r="V75" t="s">
        <v>415</v>
      </c>
      <c r="W75" t="s">
        <v>416</v>
      </c>
    </row>
    <row r="76" spans="1:23" hidden="1" x14ac:dyDescent="0.3">
      <c r="A76">
        <v>43</v>
      </c>
      <c r="B76" t="s">
        <v>417</v>
      </c>
      <c r="C76" t="s">
        <v>418</v>
      </c>
      <c r="D76">
        <v>11</v>
      </c>
      <c r="E76">
        <v>295</v>
      </c>
      <c r="F76">
        <v>3245</v>
      </c>
      <c r="G76" t="s">
        <v>23</v>
      </c>
      <c r="H76" t="s">
        <v>181</v>
      </c>
      <c r="I76" t="s">
        <v>175</v>
      </c>
      <c r="J76" t="s">
        <v>26</v>
      </c>
      <c r="K76" t="s">
        <v>419</v>
      </c>
      <c r="L76" t="s">
        <v>159</v>
      </c>
      <c r="M76" t="s">
        <v>27</v>
      </c>
      <c r="N76" t="s">
        <v>27</v>
      </c>
      <c r="O76">
        <v>0</v>
      </c>
      <c r="Q76">
        <v>0</v>
      </c>
      <c r="R76"/>
      <c r="S76">
        <v>0</v>
      </c>
      <c r="T76">
        <v>0</v>
      </c>
      <c r="U76">
        <v>0</v>
      </c>
      <c r="V76" t="s">
        <v>420</v>
      </c>
      <c r="W76" t="s">
        <v>421</v>
      </c>
    </row>
    <row r="77" spans="1:23" hidden="1" x14ac:dyDescent="0.3">
      <c r="A77">
        <v>44</v>
      </c>
      <c r="B77" t="s">
        <v>422</v>
      </c>
      <c r="C77" t="s">
        <v>423</v>
      </c>
      <c r="D77">
        <v>10</v>
      </c>
      <c r="E77">
        <v>108</v>
      </c>
      <c r="F77">
        <v>1080</v>
      </c>
      <c r="G77" t="s">
        <v>23</v>
      </c>
      <c r="H77" t="s">
        <v>181</v>
      </c>
      <c r="I77" t="s">
        <v>175</v>
      </c>
      <c r="J77" t="s">
        <v>26</v>
      </c>
      <c r="K77" t="s">
        <v>27</v>
      </c>
      <c r="L77" t="s">
        <v>159</v>
      </c>
      <c r="M77" t="s">
        <v>27</v>
      </c>
      <c r="N77" t="s">
        <v>27</v>
      </c>
      <c r="O77">
        <v>0</v>
      </c>
      <c r="Q77">
        <v>0</v>
      </c>
      <c r="R77"/>
      <c r="S77">
        <v>0</v>
      </c>
      <c r="T77">
        <v>0</v>
      </c>
      <c r="U77">
        <v>0</v>
      </c>
      <c r="V77" t="s">
        <v>424</v>
      </c>
      <c r="W77" t="s">
        <v>425</v>
      </c>
    </row>
    <row r="78" spans="1:23" hidden="1" x14ac:dyDescent="0.3">
      <c r="A78">
        <v>45</v>
      </c>
      <c r="B78" t="s">
        <v>426</v>
      </c>
      <c r="C78" t="s">
        <v>427</v>
      </c>
      <c r="D78">
        <v>10</v>
      </c>
      <c r="E78">
        <v>352</v>
      </c>
      <c r="F78">
        <v>3520</v>
      </c>
      <c r="G78" t="s">
        <v>23</v>
      </c>
      <c r="H78" t="s">
        <v>174</v>
      </c>
      <c r="I78" t="s">
        <v>175</v>
      </c>
      <c r="J78" t="s">
        <v>26</v>
      </c>
      <c r="K78" t="s">
        <v>27</v>
      </c>
      <c r="L78" t="s">
        <v>159</v>
      </c>
      <c r="M78" t="s">
        <v>27</v>
      </c>
      <c r="N78" t="s">
        <v>27</v>
      </c>
      <c r="O78">
        <v>0</v>
      </c>
      <c r="Q78">
        <v>0</v>
      </c>
      <c r="R78"/>
      <c r="S78">
        <v>0</v>
      </c>
      <c r="T78">
        <v>0</v>
      </c>
      <c r="U78">
        <v>0</v>
      </c>
      <c r="V78" t="s">
        <v>428</v>
      </c>
      <c r="W78" t="s">
        <v>429</v>
      </c>
    </row>
    <row r="79" spans="1:23" hidden="1" x14ac:dyDescent="0.3">
      <c r="A79">
        <v>46</v>
      </c>
      <c r="B79" t="s">
        <v>430</v>
      </c>
      <c r="C79" t="s">
        <v>431</v>
      </c>
      <c r="D79">
        <v>22</v>
      </c>
      <c r="E79">
        <v>660</v>
      </c>
      <c r="F79">
        <v>14520</v>
      </c>
      <c r="G79" t="s">
        <v>23</v>
      </c>
      <c r="H79" t="s">
        <v>174</v>
      </c>
      <c r="I79" t="s">
        <v>175</v>
      </c>
      <c r="J79" t="s">
        <v>26</v>
      </c>
      <c r="K79" t="s">
        <v>432</v>
      </c>
      <c r="L79" t="s">
        <v>28</v>
      </c>
      <c r="M79" t="s">
        <v>433</v>
      </c>
      <c r="N79" t="s">
        <v>434</v>
      </c>
      <c r="O79">
        <v>160.94999999999999</v>
      </c>
      <c r="Q79">
        <v>241.42</v>
      </c>
      <c r="R79"/>
      <c r="S79">
        <v>5311.24</v>
      </c>
      <c r="T79">
        <v>80.47</v>
      </c>
      <c r="U79">
        <v>5311.24</v>
      </c>
      <c r="V79" t="s">
        <v>435</v>
      </c>
      <c r="W79" t="s">
        <v>436</v>
      </c>
    </row>
    <row r="80" spans="1:23" hidden="1" x14ac:dyDescent="0.3">
      <c r="A80">
        <v>47</v>
      </c>
      <c r="B80" t="s">
        <v>437</v>
      </c>
      <c r="C80" t="s">
        <v>438</v>
      </c>
      <c r="D80">
        <v>17</v>
      </c>
      <c r="E80">
        <v>269.7</v>
      </c>
      <c r="F80">
        <v>4584.8999999999996</v>
      </c>
      <c r="G80" t="s">
        <v>23</v>
      </c>
      <c r="H80" t="s">
        <v>174</v>
      </c>
      <c r="I80" t="s">
        <v>175</v>
      </c>
      <c r="J80" t="s">
        <v>26</v>
      </c>
      <c r="K80" t="s">
        <v>439</v>
      </c>
      <c r="L80" t="s">
        <v>28</v>
      </c>
      <c r="M80" t="s">
        <v>440</v>
      </c>
      <c r="N80" t="s">
        <v>441</v>
      </c>
      <c r="O80">
        <v>81.16</v>
      </c>
      <c r="Q80">
        <v>121.74</v>
      </c>
      <c r="R80"/>
      <c r="S80">
        <v>2069.58</v>
      </c>
      <c r="T80">
        <v>40.58</v>
      </c>
      <c r="U80">
        <v>2069.58</v>
      </c>
      <c r="V80" t="s">
        <v>442</v>
      </c>
      <c r="W80" t="s">
        <v>443</v>
      </c>
    </row>
    <row r="81" spans="1:23" hidden="1" x14ac:dyDescent="0.3">
      <c r="A81">
        <v>49</v>
      </c>
      <c r="B81" t="s">
        <v>444</v>
      </c>
      <c r="C81" t="s">
        <v>445</v>
      </c>
      <c r="D81">
        <v>4</v>
      </c>
      <c r="E81">
        <v>484.32</v>
      </c>
      <c r="F81">
        <v>1937.28</v>
      </c>
      <c r="G81" t="s">
        <v>446</v>
      </c>
      <c r="H81" t="s">
        <v>174</v>
      </c>
      <c r="I81" t="s">
        <v>175</v>
      </c>
      <c r="J81" t="s">
        <v>26</v>
      </c>
      <c r="K81" t="s">
        <v>447</v>
      </c>
      <c r="L81" t="s">
        <v>28</v>
      </c>
      <c r="M81" t="s">
        <v>61</v>
      </c>
      <c r="N81" t="s">
        <v>448</v>
      </c>
      <c r="O81">
        <v>224.87</v>
      </c>
      <c r="Q81">
        <v>337.31</v>
      </c>
      <c r="R81"/>
      <c r="S81">
        <v>1349.24</v>
      </c>
      <c r="T81">
        <v>112.44</v>
      </c>
      <c r="U81">
        <v>1349.24</v>
      </c>
      <c r="V81" t="s">
        <v>449</v>
      </c>
      <c r="W81" t="s">
        <v>450</v>
      </c>
    </row>
    <row r="82" spans="1:23" hidden="1" x14ac:dyDescent="0.3">
      <c r="A82">
        <v>50</v>
      </c>
      <c r="B82" t="s">
        <v>451</v>
      </c>
      <c r="C82" t="s">
        <v>452</v>
      </c>
      <c r="D82">
        <v>3</v>
      </c>
      <c r="E82">
        <v>597.64</v>
      </c>
      <c r="F82">
        <v>1792.92</v>
      </c>
      <c r="G82" t="s">
        <v>23</v>
      </c>
      <c r="H82" t="s">
        <v>174</v>
      </c>
      <c r="I82" t="s">
        <v>175</v>
      </c>
      <c r="J82" t="s">
        <v>26</v>
      </c>
      <c r="K82" t="s">
        <v>453</v>
      </c>
      <c r="L82" t="s">
        <v>28</v>
      </c>
      <c r="M82" t="s">
        <v>251</v>
      </c>
      <c r="N82" t="s">
        <v>454</v>
      </c>
      <c r="O82">
        <v>31</v>
      </c>
      <c r="Q82">
        <v>46.5</v>
      </c>
      <c r="R82"/>
      <c r="S82">
        <v>139.5</v>
      </c>
      <c r="T82">
        <v>15.5</v>
      </c>
      <c r="U82">
        <v>139.5</v>
      </c>
      <c r="V82" t="s">
        <v>455</v>
      </c>
      <c r="W82" t="s">
        <v>456</v>
      </c>
    </row>
    <row r="83" spans="1:23" hidden="1" x14ac:dyDescent="0.3">
      <c r="A83">
        <v>51</v>
      </c>
      <c r="B83" t="s">
        <v>457</v>
      </c>
      <c r="C83" t="s">
        <v>458</v>
      </c>
      <c r="D83">
        <v>25</v>
      </c>
      <c r="E83">
        <v>67.540000000000006</v>
      </c>
      <c r="F83">
        <v>1688.5</v>
      </c>
      <c r="G83" t="s">
        <v>23</v>
      </c>
      <c r="H83" t="s">
        <v>174</v>
      </c>
      <c r="I83" t="s">
        <v>175</v>
      </c>
      <c r="J83" t="s">
        <v>26</v>
      </c>
      <c r="K83" t="s">
        <v>459</v>
      </c>
      <c r="L83" t="s">
        <v>28</v>
      </c>
      <c r="M83" t="s">
        <v>61</v>
      </c>
      <c r="N83" t="s">
        <v>460</v>
      </c>
      <c r="O83">
        <v>42.45</v>
      </c>
      <c r="Q83">
        <v>63.68</v>
      </c>
      <c r="R83"/>
      <c r="S83">
        <v>1592</v>
      </c>
      <c r="T83">
        <v>21.23</v>
      </c>
      <c r="U83">
        <v>1592</v>
      </c>
      <c r="V83" t="s">
        <v>461</v>
      </c>
      <c r="W83" t="s">
        <v>462</v>
      </c>
    </row>
    <row r="84" spans="1:23" hidden="1" x14ac:dyDescent="0.3">
      <c r="A84">
        <v>52</v>
      </c>
      <c r="B84" t="s">
        <v>463</v>
      </c>
      <c r="C84" t="s">
        <v>464</v>
      </c>
      <c r="D84">
        <v>27</v>
      </c>
      <c r="E84">
        <v>154</v>
      </c>
      <c r="F84">
        <v>4158</v>
      </c>
      <c r="G84" t="s">
        <v>23</v>
      </c>
      <c r="H84" t="s">
        <v>181</v>
      </c>
      <c r="I84" t="s">
        <v>175</v>
      </c>
      <c r="J84" t="s">
        <v>26</v>
      </c>
      <c r="K84" t="s">
        <v>465</v>
      </c>
      <c r="L84" t="s">
        <v>159</v>
      </c>
      <c r="M84" t="s">
        <v>27</v>
      </c>
      <c r="N84" t="s">
        <v>27</v>
      </c>
      <c r="O84">
        <v>0</v>
      </c>
      <c r="Q84">
        <v>0</v>
      </c>
      <c r="R84"/>
      <c r="S84">
        <v>0</v>
      </c>
      <c r="T84">
        <v>0</v>
      </c>
      <c r="U84">
        <v>0</v>
      </c>
      <c r="V84" t="s">
        <v>466</v>
      </c>
      <c r="W84" t="s">
        <v>467</v>
      </c>
    </row>
    <row r="85" spans="1:23" hidden="1" x14ac:dyDescent="0.3">
      <c r="A85">
        <v>53</v>
      </c>
      <c r="B85" t="s">
        <v>468</v>
      </c>
      <c r="C85" t="s">
        <v>469</v>
      </c>
      <c r="D85">
        <v>19</v>
      </c>
      <c r="E85">
        <v>155</v>
      </c>
      <c r="F85">
        <v>2945</v>
      </c>
      <c r="G85" t="s">
        <v>23</v>
      </c>
      <c r="H85" t="s">
        <v>174</v>
      </c>
      <c r="I85" t="s">
        <v>175</v>
      </c>
      <c r="J85" t="s">
        <v>26</v>
      </c>
      <c r="K85" t="s">
        <v>470</v>
      </c>
      <c r="L85" t="s">
        <v>159</v>
      </c>
      <c r="M85" t="s">
        <v>27</v>
      </c>
      <c r="N85" t="s">
        <v>27</v>
      </c>
      <c r="O85">
        <v>0</v>
      </c>
      <c r="Q85">
        <v>0</v>
      </c>
      <c r="R85"/>
      <c r="S85">
        <v>0</v>
      </c>
      <c r="T85">
        <v>0</v>
      </c>
      <c r="U85">
        <v>0</v>
      </c>
      <c r="V85" t="s">
        <v>471</v>
      </c>
      <c r="W85" t="s">
        <v>472</v>
      </c>
    </row>
    <row r="86" spans="1:23" hidden="1" x14ac:dyDescent="0.3">
      <c r="A86">
        <v>54</v>
      </c>
      <c r="B86" t="s">
        <v>473</v>
      </c>
      <c r="C86" t="s">
        <v>474</v>
      </c>
      <c r="D86">
        <v>19</v>
      </c>
      <c r="E86">
        <v>150</v>
      </c>
      <c r="F86">
        <v>2850</v>
      </c>
      <c r="G86" t="s">
        <v>23</v>
      </c>
      <c r="H86" t="s">
        <v>181</v>
      </c>
      <c r="I86" t="s">
        <v>175</v>
      </c>
      <c r="J86" t="s">
        <v>26</v>
      </c>
      <c r="K86" t="s">
        <v>475</v>
      </c>
      <c r="L86" t="s">
        <v>159</v>
      </c>
      <c r="M86" t="s">
        <v>27</v>
      </c>
      <c r="N86" t="s">
        <v>27</v>
      </c>
      <c r="O86">
        <v>0</v>
      </c>
      <c r="Q86">
        <v>0</v>
      </c>
      <c r="R86"/>
      <c r="S86">
        <v>0</v>
      </c>
      <c r="T86">
        <v>0</v>
      </c>
      <c r="U86">
        <v>0</v>
      </c>
      <c r="V86" t="s">
        <v>476</v>
      </c>
      <c r="W86" t="s">
        <v>477</v>
      </c>
    </row>
    <row r="87" spans="1:23" hidden="1" x14ac:dyDescent="0.3">
      <c r="A87">
        <v>55</v>
      </c>
      <c r="B87" t="s">
        <v>478</v>
      </c>
      <c r="C87" t="s">
        <v>479</v>
      </c>
      <c r="D87">
        <v>18</v>
      </c>
      <c r="E87">
        <v>147</v>
      </c>
      <c r="F87">
        <v>2646</v>
      </c>
      <c r="G87" t="s">
        <v>23</v>
      </c>
      <c r="H87" t="s">
        <v>174</v>
      </c>
      <c r="I87" t="s">
        <v>175</v>
      </c>
      <c r="J87" t="s">
        <v>26</v>
      </c>
      <c r="K87" t="s">
        <v>480</v>
      </c>
      <c r="L87" t="s">
        <v>159</v>
      </c>
      <c r="M87" t="s">
        <v>27</v>
      </c>
      <c r="N87" t="s">
        <v>27</v>
      </c>
      <c r="O87">
        <v>0</v>
      </c>
      <c r="Q87">
        <v>0</v>
      </c>
      <c r="R87"/>
      <c r="S87">
        <v>0</v>
      </c>
      <c r="T87">
        <v>0</v>
      </c>
      <c r="U87">
        <v>0</v>
      </c>
      <c r="V87" t="s">
        <v>481</v>
      </c>
      <c r="W87" t="s">
        <v>482</v>
      </c>
    </row>
    <row r="88" spans="1:23" hidden="1" x14ac:dyDescent="0.3">
      <c r="A88">
        <v>56</v>
      </c>
      <c r="B88" t="s">
        <v>483</v>
      </c>
      <c r="C88" t="s">
        <v>484</v>
      </c>
      <c r="D88">
        <v>7</v>
      </c>
      <c r="E88">
        <v>158</v>
      </c>
      <c r="F88">
        <v>1106</v>
      </c>
      <c r="G88" t="s">
        <v>23</v>
      </c>
      <c r="H88" t="s">
        <v>174</v>
      </c>
      <c r="I88" t="s">
        <v>175</v>
      </c>
      <c r="J88" t="s">
        <v>26</v>
      </c>
      <c r="K88" t="s">
        <v>485</v>
      </c>
      <c r="L88" t="s">
        <v>28</v>
      </c>
      <c r="M88" t="s">
        <v>278</v>
      </c>
      <c r="N88" t="s">
        <v>486</v>
      </c>
      <c r="O88">
        <v>37.9</v>
      </c>
      <c r="Q88">
        <v>56.85</v>
      </c>
      <c r="R88"/>
      <c r="S88">
        <v>397.95</v>
      </c>
      <c r="T88">
        <v>18.95</v>
      </c>
      <c r="U88">
        <v>397.95</v>
      </c>
      <c r="V88" t="s">
        <v>487</v>
      </c>
      <c r="W88" t="s">
        <v>488</v>
      </c>
    </row>
    <row r="89" spans="1:23" hidden="1" x14ac:dyDescent="0.3">
      <c r="A89">
        <v>57</v>
      </c>
      <c r="B89" t="s">
        <v>489</v>
      </c>
      <c r="C89" t="s">
        <v>490</v>
      </c>
      <c r="D89">
        <v>3</v>
      </c>
      <c r="E89">
        <v>668.1</v>
      </c>
      <c r="F89">
        <v>2004.3</v>
      </c>
      <c r="G89" t="s">
        <v>23</v>
      </c>
      <c r="H89" t="s">
        <v>174</v>
      </c>
      <c r="I89" t="s">
        <v>175</v>
      </c>
      <c r="J89" t="s">
        <v>26</v>
      </c>
      <c r="K89" t="s">
        <v>491</v>
      </c>
      <c r="L89" t="s">
        <v>28</v>
      </c>
      <c r="M89" t="s">
        <v>40</v>
      </c>
      <c r="N89" t="s">
        <v>492</v>
      </c>
      <c r="O89">
        <v>212.85</v>
      </c>
      <c r="Q89">
        <v>319.27</v>
      </c>
      <c r="R89"/>
      <c r="S89">
        <v>957.81</v>
      </c>
      <c r="T89">
        <v>106.42</v>
      </c>
      <c r="U89">
        <v>957.81</v>
      </c>
      <c r="V89" t="s">
        <v>493</v>
      </c>
      <c r="W89" t="s">
        <v>494</v>
      </c>
    </row>
    <row r="90" spans="1:23" hidden="1" x14ac:dyDescent="0.3">
      <c r="A90">
        <v>58</v>
      </c>
      <c r="B90" t="s">
        <v>495</v>
      </c>
      <c r="C90" t="s">
        <v>496</v>
      </c>
      <c r="D90">
        <v>16</v>
      </c>
      <c r="E90">
        <v>87.9</v>
      </c>
      <c r="F90">
        <v>1406.4</v>
      </c>
      <c r="G90" t="s">
        <v>23</v>
      </c>
      <c r="H90" t="s">
        <v>174</v>
      </c>
      <c r="I90" t="s">
        <v>175</v>
      </c>
      <c r="J90" t="s">
        <v>26</v>
      </c>
      <c r="K90" t="s">
        <v>497</v>
      </c>
      <c r="L90" t="s">
        <v>159</v>
      </c>
      <c r="M90" t="s">
        <v>27</v>
      </c>
      <c r="N90" t="s">
        <v>27</v>
      </c>
      <c r="O90">
        <v>0</v>
      </c>
      <c r="Q90">
        <v>0</v>
      </c>
      <c r="R90"/>
      <c r="S90">
        <v>0</v>
      </c>
      <c r="T90">
        <v>0</v>
      </c>
      <c r="U90">
        <v>0</v>
      </c>
      <c r="V90" t="s">
        <v>498</v>
      </c>
      <c r="W90" t="s">
        <v>499</v>
      </c>
    </row>
    <row r="91" spans="1:23" x14ac:dyDescent="0.3">
      <c r="A91">
        <v>47</v>
      </c>
      <c r="B91" t="s">
        <v>500</v>
      </c>
      <c r="C91" t="s">
        <v>501</v>
      </c>
      <c r="D91">
        <v>60</v>
      </c>
      <c r="E91" s="2">
        <v>80.540000000000006</v>
      </c>
      <c r="F91">
        <v>4832.3999999999996</v>
      </c>
      <c r="G91" t="s">
        <v>23</v>
      </c>
      <c r="H91" t="s">
        <v>502</v>
      </c>
      <c r="I91" t="s">
        <v>503</v>
      </c>
      <c r="J91" t="s">
        <v>26</v>
      </c>
      <c r="K91" t="s">
        <v>27</v>
      </c>
      <c r="L91" t="s">
        <v>164</v>
      </c>
      <c r="M91" t="s">
        <v>278</v>
      </c>
      <c r="N91" t="s">
        <v>504</v>
      </c>
      <c r="O91">
        <v>43.9</v>
      </c>
      <c r="P91" s="2">
        <f>O91*D91</f>
        <v>2634</v>
      </c>
      <c r="Q91" s="1">
        <v>65.849999999999994</v>
      </c>
      <c r="R91" s="1">
        <f>(Q91-O91)*D91</f>
        <v>1316.9999999999998</v>
      </c>
      <c r="S91" s="1">
        <v>3951</v>
      </c>
      <c r="T91">
        <v>21.95</v>
      </c>
      <c r="U91">
        <v>3951</v>
      </c>
      <c r="V91" t="s">
        <v>505</v>
      </c>
    </row>
    <row r="92" spans="1:23" x14ac:dyDescent="0.3">
      <c r="A92">
        <v>163</v>
      </c>
      <c r="B92" t="s">
        <v>21</v>
      </c>
      <c r="C92" t="s">
        <v>506</v>
      </c>
      <c r="D92">
        <v>20</v>
      </c>
      <c r="E92" s="2">
        <v>167.21</v>
      </c>
      <c r="F92">
        <v>3344.2</v>
      </c>
      <c r="G92" t="s">
        <v>23</v>
      </c>
      <c r="H92" t="s">
        <v>502</v>
      </c>
      <c r="I92" t="s">
        <v>503</v>
      </c>
      <c r="J92" t="s">
        <v>26</v>
      </c>
      <c r="K92" t="s">
        <v>27</v>
      </c>
      <c r="L92" t="s">
        <v>28</v>
      </c>
      <c r="M92" t="s">
        <v>29</v>
      </c>
      <c r="N92" t="s">
        <v>507</v>
      </c>
      <c r="O92">
        <v>223.9</v>
      </c>
      <c r="P92" s="2">
        <f t="shared" ref="P92:P131" si="0">O92*D92</f>
        <v>4478</v>
      </c>
      <c r="Q92" s="1">
        <v>335.85</v>
      </c>
      <c r="R92" s="1">
        <f t="shared" ref="R92:R131" si="1">(Q92-O92)*D92</f>
        <v>2239.0000000000005</v>
      </c>
      <c r="S92" s="1">
        <v>6717</v>
      </c>
      <c r="T92">
        <v>111.95</v>
      </c>
      <c r="U92">
        <v>6717</v>
      </c>
      <c r="V92" t="s">
        <v>508</v>
      </c>
      <c r="W92" t="s">
        <v>509</v>
      </c>
    </row>
    <row r="93" spans="1:23" x14ac:dyDescent="0.3">
      <c r="A93">
        <v>164</v>
      </c>
      <c r="B93" t="s">
        <v>32</v>
      </c>
      <c r="C93" t="s">
        <v>510</v>
      </c>
      <c r="D93">
        <v>20</v>
      </c>
      <c r="E93" s="2">
        <v>759.41</v>
      </c>
      <c r="F93">
        <v>15188.2</v>
      </c>
      <c r="G93" t="s">
        <v>23</v>
      </c>
      <c r="H93" t="s">
        <v>502</v>
      </c>
      <c r="I93" t="s">
        <v>503</v>
      </c>
      <c r="J93" t="s">
        <v>26</v>
      </c>
      <c r="K93" t="s">
        <v>27</v>
      </c>
      <c r="L93" t="s">
        <v>28</v>
      </c>
      <c r="M93" t="s">
        <v>29</v>
      </c>
      <c r="N93" t="s">
        <v>511</v>
      </c>
      <c r="O93">
        <v>881.75</v>
      </c>
      <c r="P93" s="2">
        <f t="shared" si="0"/>
        <v>17635</v>
      </c>
      <c r="Q93" s="1">
        <v>1322.62</v>
      </c>
      <c r="R93" s="1">
        <f t="shared" si="1"/>
        <v>8817.3999999999978</v>
      </c>
      <c r="S93" s="1">
        <v>26452.400000000001</v>
      </c>
      <c r="T93">
        <v>440.87</v>
      </c>
      <c r="U93">
        <v>26452.400000000001</v>
      </c>
      <c r="V93" t="s">
        <v>512</v>
      </c>
      <c r="W93" t="s">
        <v>513</v>
      </c>
    </row>
    <row r="94" spans="1:23" x14ac:dyDescent="0.3">
      <c r="A94">
        <v>165</v>
      </c>
      <c r="B94" t="s">
        <v>69</v>
      </c>
      <c r="C94" t="s">
        <v>514</v>
      </c>
      <c r="D94">
        <v>15</v>
      </c>
      <c r="E94" s="2">
        <v>236.22</v>
      </c>
      <c r="F94">
        <v>3543.3</v>
      </c>
      <c r="G94" t="s">
        <v>23</v>
      </c>
      <c r="H94" t="s">
        <v>502</v>
      </c>
      <c r="I94" t="s">
        <v>503</v>
      </c>
      <c r="J94" t="s">
        <v>26</v>
      </c>
      <c r="K94" t="s">
        <v>27</v>
      </c>
      <c r="L94" t="s">
        <v>164</v>
      </c>
      <c r="M94" t="s">
        <v>29</v>
      </c>
      <c r="N94" t="s">
        <v>71</v>
      </c>
      <c r="O94">
        <v>92.59</v>
      </c>
      <c r="P94" s="2">
        <f t="shared" si="0"/>
        <v>1388.8500000000001</v>
      </c>
      <c r="Q94" s="1">
        <v>138.88</v>
      </c>
      <c r="R94" s="1">
        <f t="shared" si="1"/>
        <v>694.34999999999991</v>
      </c>
      <c r="S94" s="1">
        <v>2083.1999999999998</v>
      </c>
      <c r="T94">
        <v>46.29</v>
      </c>
      <c r="U94">
        <v>2083.1999999999998</v>
      </c>
      <c r="V94" t="s">
        <v>515</v>
      </c>
    </row>
    <row r="95" spans="1:23" x14ac:dyDescent="0.3">
      <c r="A95">
        <v>166</v>
      </c>
      <c r="B95" t="s">
        <v>516</v>
      </c>
      <c r="C95" t="s">
        <v>517</v>
      </c>
      <c r="D95">
        <v>10</v>
      </c>
      <c r="E95" s="2">
        <v>316.39999999999998</v>
      </c>
      <c r="F95">
        <v>3164</v>
      </c>
      <c r="G95" t="s">
        <v>518</v>
      </c>
      <c r="H95" t="s">
        <v>502</v>
      </c>
      <c r="I95" t="s">
        <v>503</v>
      </c>
      <c r="J95" t="s">
        <v>26</v>
      </c>
      <c r="K95" t="s">
        <v>27</v>
      </c>
      <c r="L95" t="s">
        <v>164</v>
      </c>
      <c r="M95" t="s">
        <v>519</v>
      </c>
      <c r="N95" t="s">
        <v>520</v>
      </c>
      <c r="O95">
        <v>5.18</v>
      </c>
      <c r="P95" s="2">
        <f t="shared" si="0"/>
        <v>51.8</v>
      </c>
      <c r="Q95" s="1">
        <v>7.77</v>
      </c>
      <c r="R95" s="1">
        <f t="shared" si="1"/>
        <v>25.9</v>
      </c>
      <c r="S95" s="1">
        <v>77.7</v>
      </c>
      <c r="T95">
        <v>2.59</v>
      </c>
      <c r="U95">
        <v>77.7</v>
      </c>
      <c r="V95" t="s">
        <v>521</v>
      </c>
    </row>
    <row r="96" spans="1:23" x14ac:dyDescent="0.3">
      <c r="A96">
        <v>167</v>
      </c>
      <c r="B96" t="s">
        <v>522</v>
      </c>
      <c r="C96" t="s">
        <v>523</v>
      </c>
      <c r="D96">
        <v>15</v>
      </c>
      <c r="E96" s="2">
        <v>2429.44</v>
      </c>
      <c r="F96">
        <v>36441.599999999999</v>
      </c>
      <c r="G96" t="s">
        <v>23</v>
      </c>
      <c r="H96" t="s">
        <v>502</v>
      </c>
      <c r="I96" t="s">
        <v>503</v>
      </c>
      <c r="J96" t="s">
        <v>26</v>
      </c>
      <c r="K96" t="s">
        <v>27</v>
      </c>
      <c r="L96" t="s">
        <v>28</v>
      </c>
      <c r="M96" t="s">
        <v>251</v>
      </c>
      <c r="N96" t="s">
        <v>524</v>
      </c>
      <c r="O96">
        <v>1242</v>
      </c>
      <c r="P96" s="2">
        <f t="shared" si="0"/>
        <v>18630</v>
      </c>
      <c r="Q96" s="1">
        <v>1863</v>
      </c>
      <c r="R96" s="1">
        <f t="shared" si="1"/>
        <v>9315</v>
      </c>
      <c r="S96" s="1">
        <v>27945</v>
      </c>
      <c r="T96">
        <v>621</v>
      </c>
      <c r="U96">
        <v>27945</v>
      </c>
      <c r="V96" t="s">
        <v>525</v>
      </c>
      <c r="W96" t="s">
        <v>526</v>
      </c>
    </row>
    <row r="97" spans="1:23" x14ac:dyDescent="0.3">
      <c r="A97">
        <v>168</v>
      </c>
      <c r="B97" t="s">
        <v>527</v>
      </c>
      <c r="C97" t="s">
        <v>528</v>
      </c>
      <c r="D97">
        <v>500</v>
      </c>
      <c r="E97" s="2">
        <v>30.93</v>
      </c>
      <c r="F97">
        <v>15465</v>
      </c>
      <c r="G97" t="s">
        <v>446</v>
      </c>
      <c r="H97" t="s">
        <v>502</v>
      </c>
      <c r="I97" t="s">
        <v>503</v>
      </c>
      <c r="J97" t="s">
        <v>26</v>
      </c>
      <c r="K97" t="s">
        <v>27</v>
      </c>
      <c r="L97" t="s">
        <v>28</v>
      </c>
      <c r="M97" t="s">
        <v>52</v>
      </c>
      <c r="N97" t="s">
        <v>529</v>
      </c>
      <c r="O97">
        <v>17.98</v>
      </c>
      <c r="P97" s="2">
        <f t="shared" si="0"/>
        <v>8990</v>
      </c>
      <c r="Q97" s="1">
        <v>26.97</v>
      </c>
      <c r="R97" s="1">
        <f t="shared" si="1"/>
        <v>4494.9999999999991</v>
      </c>
      <c r="S97" s="1">
        <v>13485</v>
      </c>
      <c r="T97">
        <v>8.99</v>
      </c>
      <c r="U97">
        <v>13485</v>
      </c>
      <c r="V97" t="s">
        <v>530</v>
      </c>
      <c r="W97" t="s">
        <v>531</v>
      </c>
    </row>
    <row r="98" spans="1:23" x14ac:dyDescent="0.3">
      <c r="A98">
        <v>169</v>
      </c>
      <c r="B98" t="s">
        <v>532</v>
      </c>
      <c r="C98" t="s">
        <v>533</v>
      </c>
      <c r="D98">
        <v>80</v>
      </c>
      <c r="E98" s="2">
        <v>33.299999999999997</v>
      </c>
      <c r="F98">
        <v>2664</v>
      </c>
      <c r="G98" t="s">
        <v>446</v>
      </c>
      <c r="H98" t="s">
        <v>502</v>
      </c>
      <c r="I98" t="s">
        <v>503</v>
      </c>
      <c r="J98" t="s">
        <v>26</v>
      </c>
      <c r="K98" t="s">
        <v>27</v>
      </c>
      <c r="L98" t="s">
        <v>164</v>
      </c>
      <c r="M98" t="s">
        <v>278</v>
      </c>
      <c r="N98" t="s">
        <v>534</v>
      </c>
      <c r="O98">
        <v>9.9</v>
      </c>
      <c r="P98" s="2">
        <f t="shared" si="0"/>
        <v>792</v>
      </c>
      <c r="Q98" s="1">
        <v>14.85</v>
      </c>
      <c r="R98" s="1">
        <f t="shared" si="1"/>
        <v>395.99999999999994</v>
      </c>
      <c r="S98" s="1">
        <v>1188</v>
      </c>
      <c r="T98">
        <v>4.95</v>
      </c>
      <c r="U98">
        <v>1188</v>
      </c>
      <c r="V98" t="s">
        <v>535</v>
      </c>
    </row>
    <row r="99" spans="1:23" x14ac:dyDescent="0.3">
      <c r="A99">
        <v>170</v>
      </c>
      <c r="B99" t="s">
        <v>536</v>
      </c>
      <c r="C99" t="s">
        <v>537</v>
      </c>
      <c r="D99">
        <v>30</v>
      </c>
      <c r="E99" s="2">
        <v>38.72</v>
      </c>
      <c r="F99">
        <v>1161.5999999999999</v>
      </c>
      <c r="G99" t="s">
        <v>446</v>
      </c>
      <c r="H99" t="s">
        <v>502</v>
      </c>
      <c r="I99" t="s">
        <v>503</v>
      </c>
      <c r="J99" t="s">
        <v>26</v>
      </c>
      <c r="K99" t="s">
        <v>27</v>
      </c>
      <c r="L99" t="s">
        <v>159</v>
      </c>
      <c r="M99" t="s">
        <v>27</v>
      </c>
      <c r="N99" t="s">
        <v>27</v>
      </c>
      <c r="O99">
        <v>0</v>
      </c>
      <c r="P99" s="2">
        <f t="shared" si="0"/>
        <v>0</v>
      </c>
      <c r="Q99" s="1">
        <v>0</v>
      </c>
      <c r="R99" s="1">
        <f t="shared" si="1"/>
        <v>0</v>
      </c>
      <c r="S99" s="1">
        <v>0</v>
      </c>
      <c r="T99">
        <v>0</v>
      </c>
      <c r="U99">
        <v>0</v>
      </c>
      <c r="V99" t="s">
        <v>538</v>
      </c>
      <c r="W99" t="s">
        <v>539</v>
      </c>
    </row>
    <row r="100" spans="1:23" x14ac:dyDescent="0.3">
      <c r="A100">
        <v>171</v>
      </c>
      <c r="B100" t="s">
        <v>540</v>
      </c>
      <c r="C100" t="s">
        <v>541</v>
      </c>
      <c r="D100">
        <v>15</v>
      </c>
      <c r="E100" s="2">
        <v>84.56</v>
      </c>
      <c r="F100">
        <v>1268.4000000000001</v>
      </c>
      <c r="G100" t="s">
        <v>446</v>
      </c>
      <c r="H100" t="s">
        <v>502</v>
      </c>
      <c r="I100" t="s">
        <v>503</v>
      </c>
      <c r="J100" t="s">
        <v>26</v>
      </c>
      <c r="K100" t="s">
        <v>27</v>
      </c>
      <c r="L100" t="s">
        <v>28</v>
      </c>
      <c r="M100" t="s">
        <v>519</v>
      </c>
      <c r="N100" t="s">
        <v>542</v>
      </c>
      <c r="O100">
        <v>43.25</v>
      </c>
      <c r="P100" s="2">
        <f t="shared" si="0"/>
        <v>648.75</v>
      </c>
      <c r="Q100" s="1">
        <v>64.88</v>
      </c>
      <c r="R100" s="1">
        <f t="shared" si="1"/>
        <v>324.44999999999993</v>
      </c>
      <c r="S100" s="1">
        <v>973.2</v>
      </c>
      <c r="T100">
        <v>21.63</v>
      </c>
      <c r="U100">
        <v>973.2</v>
      </c>
      <c r="V100" t="s">
        <v>543</v>
      </c>
    </row>
    <row r="101" spans="1:23" x14ac:dyDescent="0.3">
      <c r="A101">
        <v>172</v>
      </c>
      <c r="B101" t="s">
        <v>500</v>
      </c>
      <c r="C101" t="s">
        <v>544</v>
      </c>
      <c r="D101">
        <v>60</v>
      </c>
      <c r="E101" s="2">
        <v>83.16</v>
      </c>
      <c r="F101">
        <v>4989.6000000000004</v>
      </c>
      <c r="G101" t="s">
        <v>23</v>
      </c>
      <c r="H101" t="s">
        <v>502</v>
      </c>
      <c r="I101" t="s">
        <v>503</v>
      </c>
      <c r="J101" t="s">
        <v>26</v>
      </c>
      <c r="K101" t="s">
        <v>27</v>
      </c>
      <c r="L101" t="s">
        <v>28</v>
      </c>
      <c r="M101" t="s">
        <v>307</v>
      </c>
      <c r="N101" t="s">
        <v>545</v>
      </c>
      <c r="O101">
        <v>107.3</v>
      </c>
      <c r="P101" s="2">
        <f t="shared" si="0"/>
        <v>6438</v>
      </c>
      <c r="Q101" s="1">
        <v>160.94999999999999</v>
      </c>
      <c r="R101" s="1">
        <f t="shared" si="1"/>
        <v>3218.9999999999995</v>
      </c>
      <c r="S101" s="1">
        <v>9657</v>
      </c>
      <c r="T101">
        <v>53.65</v>
      </c>
      <c r="U101">
        <v>9657</v>
      </c>
      <c r="V101" t="s">
        <v>546</v>
      </c>
      <c r="W101" t="s">
        <v>547</v>
      </c>
    </row>
    <row r="102" spans="1:23" x14ac:dyDescent="0.3">
      <c r="A102">
        <v>173</v>
      </c>
      <c r="B102" t="s">
        <v>548</v>
      </c>
      <c r="C102" t="s">
        <v>549</v>
      </c>
      <c r="D102">
        <v>30</v>
      </c>
      <c r="E102" s="2">
        <v>86.53</v>
      </c>
      <c r="F102">
        <v>2595.9</v>
      </c>
      <c r="G102" t="s">
        <v>23</v>
      </c>
      <c r="H102" t="s">
        <v>502</v>
      </c>
      <c r="I102" t="s">
        <v>503</v>
      </c>
      <c r="J102" t="s">
        <v>26</v>
      </c>
      <c r="K102" t="s">
        <v>27</v>
      </c>
      <c r="L102" t="s">
        <v>164</v>
      </c>
      <c r="M102" t="s">
        <v>550</v>
      </c>
      <c r="N102" t="s">
        <v>551</v>
      </c>
      <c r="O102">
        <v>30.44</v>
      </c>
      <c r="P102" s="2">
        <f t="shared" si="0"/>
        <v>913.2</v>
      </c>
      <c r="Q102" s="1">
        <v>45.66</v>
      </c>
      <c r="R102" s="1">
        <f t="shared" si="1"/>
        <v>456.59999999999985</v>
      </c>
      <c r="S102" s="1">
        <v>1369.8</v>
      </c>
      <c r="T102">
        <v>15.22</v>
      </c>
      <c r="U102">
        <v>1369.8</v>
      </c>
      <c r="V102" t="s">
        <v>552</v>
      </c>
    </row>
    <row r="103" spans="1:23" x14ac:dyDescent="0.3">
      <c r="A103">
        <v>174</v>
      </c>
      <c r="B103" t="s">
        <v>548</v>
      </c>
      <c r="C103" t="s">
        <v>553</v>
      </c>
      <c r="D103">
        <v>30</v>
      </c>
      <c r="E103" s="2">
        <v>86.53</v>
      </c>
      <c r="F103">
        <v>2595.9</v>
      </c>
      <c r="G103" t="s">
        <v>23</v>
      </c>
      <c r="H103" t="s">
        <v>502</v>
      </c>
      <c r="I103" t="s">
        <v>503</v>
      </c>
      <c r="J103" t="s">
        <v>26</v>
      </c>
      <c r="K103" t="s">
        <v>27</v>
      </c>
      <c r="L103" t="s">
        <v>164</v>
      </c>
      <c r="M103" t="s">
        <v>550</v>
      </c>
      <c r="N103" t="s">
        <v>551</v>
      </c>
      <c r="O103">
        <v>30.44</v>
      </c>
      <c r="P103" s="2">
        <f t="shared" si="0"/>
        <v>913.2</v>
      </c>
      <c r="Q103" s="1">
        <v>45.66</v>
      </c>
      <c r="R103" s="1">
        <f t="shared" si="1"/>
        <v>456.59999999999985</v>
      </c>
      <c r="S103" s="1">
        <v>1369.8</v>
      </c>
      <c r="T103">
        <v>15.22</v>
      </c>
      <c r="U103">
        <v>1369.8</v>
      </c>
      <c r="V103" t="s">
        <v>554</v>
      </c>
    </row>
    <row r="104" spans="1:23" x14ac:dyDescent="0.3">
      <c r="A104">
        <v>175</v>
      </c>
      <c r="B104" t="s">
        <v>548</v>
      </c>
      <c r="C104" t="s">
        <v>555</v>
      </c>
      <c r="D104">
        <v>30</v>
      </c>
      <c r="E104" s="2">
        <v>94.86</v>
      </c>
      <c r="F104">
        <v>2845.8</v>
      </c>
      <c r="G104" t="s">
        <v>23</v>
      </c>
      <c r="H104" t="s">
        <v>502</v>
      </c>
      <c r="I104" t="s">
        <v>503</v>
      </c>
      <c r="J104" t="s">
        <v>26</v>
      </c>
      <c r="K104" t="s">
        <v>27</v>
      </c>
      <c r="L104" t="s">
        <v>159</v>
      </c>
      <c r="M104" t="s">
        <v>27</v>
      </c>
      <c r="N104" t="s">
        <v>27</v>
      </c>
      <c r="O104">
        <v>0</v>
      </c>
      <c r="P104" s="2">
        <f t="shared" si="0"/>
        <v>0</v>
      </c>
      <c r="Q104" s="1">
        <v>0</v>
      </c>
      <c r="R104" s="1">
        <f t="shared" si="1"/>
        <v>0</v>
      </c>
      <c r="S104" s="1">
        <v>0</v>
      </c>
      <c r="T104">
        <v>0</v>
      </c>
      <c r="U104">
        <v>0</v>
      </c>
      <c r="V104" t="s">
        <v>556</v>
      </c>
      <c r="W104" t="s">
        <v>557</v>
      </c>
    </row>
    <row r="105" spans="1:23" x14ac:dyDescent="0.3">
      <c r="A105">
        <v>176</v>
      </c>
      <c r="B105" t="s">
        <v>548</v>
      </c>
      <c r="C105" t="s">
        <v>558</v>
      </c>
      <c r="D105">
        <v>10</v>
      </c>
      <c r="E105" s="2">
        <v>290</v>
      </c>
      <c r="F105">
        <v>2900</v>
      </c>
      <c r="G105" t="s">
        <v>23</v>
      </c>
      <c r="H105" t="s">
        <v>502</v>
      </c>
      <c r="I105" t="s">
        <v>503</v>
      </c>
      <c r="J105" t="s">
        <v>26</v>
      </c>
      <c r="K105" t="s">
        <v>27</v>
      </c>
      <c r="L105" t="s">
        <v>28</v>
      </c>
      <c r="M105" t="s">
        <v>559</v>
      </c>
      <c r="N105" t="s">
        <v>560</v>
      </c>
      <c r="O105">
        <v>145.80000000000001</v>
      </c>
      <c r="P105" s="2">
        <f t="shared" si="0"/>
        <v>1458</v>
      </c>
      <c r="Q105" s="1">
        <v>218.7</v>
      </c>
      <c r="R105" s="1">
        <f t="shared" si="1"/>
        <v>728.99999999999977</v>
      </c>
      <c r="S105" s="1">
        <v>2187</v>
      </c>
      <c r="T105">
        <v>72.900000000000006</v>
      </c>
      <c r="U105">
        <v>2187</v>
      </c>
      <c r="V105" t="s">
        <v>561</v>
      </c>
      <c r="W105" t="s">
        <v>562</v>
      </c>
    </row>
    <row r="106" spans="1:23" x14ac:dyDescent="0.3">
      <c r="A106">
        <v>177</v>
      </c>
      <c r="B106" t="s">
        <v>548</v>
      </c>
      <c r="C106" t="s">
        <v>563</v>
      </c>
      <c r="D106">
        <v>20</v>
      </c>
      <c r="E106" s="2">
        <v>447.11</v>
      </c>
      <c r="F106">
        <v>8942.2000000000007</v>
      </c>
      <c r="G106" t="s">
        <v>23</v>
      </c>
      <c r="H106" t="s">
        <v>502</v>
      </c>
      <c r="I106" t="s">
        <v>503</v>
      </c>
      <c r="J106" t="s">
        <v>26</v>
      </c>
      <c r="K106" t="s">
        <v>27</v>
      </c>
      <c r="L106" t="s">
        <v>28</v>
      </c>
      <c r="M106" t="s">
        <v>559</v>
      </c>
      <c r="N106" t="s">
        <v>560</v>
      </c>
      <c r="O106">
        <v>145.80000000000001</v>
      </c>
      <c r="P106" s="2">
        <f t="shared" si="0"/>
        <v>2916</v>
      </c>
      <c r="Q106" s="1">
        <v>218.7</v>
      </c>
      <c r="R106" s="1">
        <f t="shared" si="1"/>
        <v>1457.9999999999995</v>
      </c>
      <c r="S106" s="1">
        <v>4374</v>
      </c>
      <c r="T106">
        <v>72.900000000000006</v>
      </c>
      <c r="U106">
        <v>4374</v>
      </c>
      <c r="V106" t="s">
        <v>564</v>
      </c>
      <c r="W106" t="s">
        <v>565</v>
      </c>
    </row>
    <row r="107" spans="1:23" x14ac:dyDescent="0.3">
      <c r="A107">
        <v>178</v>
      </c>
      <c r="B107" t="s">
        <v>548</v>
      </c>
      <c r="C107" t="s">
        <v>566</v>
      </c>
      <c r="D107">
        <v>8</v>
      </c>
      <c r="E107" s="2">
        <v>708.48</v>
      </c>
      <c r="F107">
        <v>5667.84</v>
      </c>
      <c r="G107" t="s">
        <v>23</v>
      </c>
      <c r="H107" t="s">
        <v>502</v>
      </c>
      <c r="I107" t="s">
        <v>503</v>
      </c>
      <c r="J107" t="s">
        <v>26</v>
      </c>
      <c r="K107" t="s">
        <v>27</v>
      </c>
      <c r="L107" t="s">
        <v>28</v>
      </c>
      <c r="M107" t="s">
        <v>559</v>
      </c>
      <c r="N107" t="s">
        <v>567</v>
      </c>
      <c r="O107">
        <v>165.83</v>
      </c>
      <c r="P107" s="2">
        <f t="shared" si="0"/>
        <v>1326.64</v>
      </c>
      <c r="Q107" s="1">
        <v>248.75</v>
      </c>
      <c r="R107" s="1">
        <f t="shared" si="1"/>
        <v>663.3599999999999</v>
      </c>
      <c r="S107" s="1">
        <v>1990</v>
      </c>
      <c r="T107">
        <v>82.92</v>
      </c>
      <c r="U107">
        <v>1990</v>
      </c>
      <c r="V107" t="s">
        <v>568</v>
      </c>
      <c r="W107" t="s">
        <v>569</v>
      </c>
    </row>
    <row r="108" spans="1:23" x14ac:dyDescent="0.3">
      <c r="A108">
        <v>179</v>
      </c>
      <c r="B108" t="s">
        <v>570</v>
      </c>
      <c r="C108" t="s">
        <v>571</v>
      </c>
      <c r="D108">
        <v>30</v>
      </c>
      <c r="E108" s="2">
        <v>39.340000000000003</v>
      </c>
      <c r="F108">
        <v>1180.2</v>
      </c>
      <c r="G108" t="s">
        <v>23</v>
      </c>
      <c r="H108" t="s">
        <v>502</v>
      </c>
      <c r="I108" t="s">
        <v>503</v>
      </c>
      <c r="J108" t="s">
        <v>26</v>
      </c>
      <c r="K108" t="s">
        <v>27</v>
      </c>
      <c r="L108" t="s">
        <v>164</v>
      </c>
      <c r="M108" t="s">
        <v>572</v>
      </c>
      <c r="N108" t="s">
        <v>573</v>
      </c>
      <c r="O108">
        <v>13.9</v>
      </c>
      <c r="P108" s="2">
        <f t="shared" si="0"/>
        <v>417</v>
      </c>
      <c r="Q108" s="1">
        <v>20.85</v>
      </c>
      <c r="R108" s="1">
        <f t="shared" si="1"/>
        <v>208.50000000000003</v>
      </c>
      <c r="S108" s="1">
        <v>625.5</v>
      </c>
      <c r="T108">
        <v>6.95</v>
      </c>
      <c r="U108">
        <v>625.5</v>
      </c>
      <c r="V108" t="s">
        <v>574</v>
      </c>
    </row>
    <row r="109" spans="1:23" x14ac:dyDescent="0.3">
      <c r="A109">
        <v>180</v>
      </c>
      <c r="B109" t="s">
        <v>570</v>
      </c>
      <c r="C109" t="s">
        <v>575</v>
      </c>
      <c r="D109">
        <v>20</v>
      </c>
      <c r="E109" s="2">
        <v>41.87</v>
      </c>
      <c r="F109">
        <v>837.4</v>
      </c>
      <c r="G109" t="s">
        <v>23</v>
      </c>
      <c r="H109" t="s">
        <v>502</v>
      </c>
      <c r="I109" t="s">
        <v>503</v>
      </c>
      <c r="J109" t="s">
        <v>26</v>
      </c>
      <c r="K109" t="s">
        <v>27</v>
      </c>
      <c r="L109" t="s">
        <v>159</v>
      </c>
      <c r="M109" t="s">
        <v>27</v>
      </c>
      <c r="N109" t="s">
        <v>27</v>
      </c>
      <c r="O109">
        <v>0</v>
      </c>
      <c r="P109" s="2">
        <f t="shared" si="0"/>
        <v>0</v>
      </c>
      <c r="Q109" s="1">
        <v>0</v>
      </c>
      <c r="R109" s="1">
        <f t="shared" si="1"/>
        <v>0</v>
      </c>
      <c r="S109" s="1">
        <v>0</v>
      </c>
      <c r="T109">
        <v>0</v>
      </c>
      <c r="U109">
        <v>0</v>
      </c>
      <c r="V109" t="s">
        <v>576</v>
      </c>
      <c r="W109" t="s">
        <v>577</v>
      </c>
    </row>
    <row r="110" spans="1:23" x14ac:dyDescent="0.3">
      <c r="A110">
        <v>181</v>
      </c>
      <c r="B110" t="s">
        <v>570</v>
      </c>
      <c r="C110" t="s">
        <v>578</v>
      </c>
      <c r="D110">
        <v>20</v>
      </c>
      <c r="E110" s="2">
        <v>39.340000000000003</v>
      </c>
      <c r="F110">
        <v>786.8</v>
      </c>
      <c r="G110" t="s">
        <v>23</v>
      </c>
      <c r="H110" t="s">
        <v>502</v>
      </c>
      <c r="I110" t="s">
        <v>503</v>
      </c>
      <c r="J110" t="s">
        <v>26</v>
      </c>
      <c r="K110" t="s">
        <v>27</v>
      </c>
      <c r="L110" t="s">
        <v>159</v>
      </c>
      <c r="M110" t="s">
        <v>27</v>
      </c>
      <c r="N110" t="s">
        <v>27</v>
      </c>
      <c r="O110">
        <v>0</v>
      </c>
      <c r="P110" s="2">
        <f t="shared" si="0"/>
        <v>0</v>
      </c>
      <c r="Q110" s="1">
        <v>0</v>
      </c>
      <c r="R110" s="1">
        <f t="shared" si="1"/>
        <v>0</v>
      </c>
      <c r="S110" s="1">
        <v>0</v>
      </c>
      <c r="T110">
        <v>0</v>
      </c>
      <c r="U110">
        <v>0</v>
      </c>
      <c r="V110" t="s">
        <v>579</v>
      </c>
      <c r="W110" t="s">
        <v>580</v>
      </c>
    </row>
    <row r="111" spans="1:23" x14ac:dyDescent="0.3">
      <c r="A111">
        <v>182</v>
      </c>
      <c r="B111" t="s">
        <v>581</v>
      </c>
      <c r="C111" t="s">
        <v>582</v>
      </c>
      <c r="D111">
        <v>30</v>
      </c>
      <c r="E111" s="2">
        <v>41.87</v>
      </c>
      <c r="F111">
        <v>1256.0999999999999</v>
      </c>
      <c r="G111" t="s">
        <v>23</v>
      </c>
      <c r="H111" t="s">
        <v>502</v>
      </c>
      <c r="I111" t="s">
        <v>503</v>
      </c>
      <c r="J111" t="s">
        <v>26</v>
      </c>
      <c r="K111" t="s">
        <v>27</v>
      </c>
      <c r="L111" t="s">
        <v>164</v>
      </c>
      <c r="M111" t="s">
        <v>113</v>
      </c>
      <c r="N111" t="s">
        <v>583</v>
      </c>
      <c r="O111">
        <v>15.01</v>
      </c>
      <c r="P111" s="2">
        <f t="shared" si="0"/>
        <v>450.3</v>
      </c>
      <c r="Q111" s="1">
        <v>22.52</v>
      </c>
      <c r="R111" s="1">
        <f t="shared" si="1"/>
        <v>225.29999999999998</v>
      </c>
      <c r="S111" s="1">
        <v>675.6</v>
      </c>
      <c r="T111">
        <v>7.51</v>
      </c>
      <c r="U111">
        <v>675.6</v>
      </c>
      <c r="V111" t="s">
        <v>584</v>
      </c>
    </row>
    <row r="112" spans="1:23" x14ac:dyDescent="0.3">
      <c r="A112">
        <v>183</v>
      </c>
      <c r="B112" t="s">
        <v>585</v>
      </c>
      <c r="C112" t="s">
        <v>586</v>
      </c>
      <c r="D112">
        <v>10</v>
      </c>
      <c r="E112" s="2">
        <v>4793.53</v>
      </c>
      <c r="F112">
        <v>47935.3</v>
      </c>
      <c r="G112" t="s">
        <v>23</v>
      </c>
      <c r="H112" t="s">
        <v>502</v>
      </c>
      <c r="I112" t="s">
        <v>503</v>
      </c>
      <c r="J112" t="s">
        <v>26</v>
      </c>
      <c r="K112" t="s">
        <v>587</v>
      </c>
      <c r="L112" t="s">
        <v>28</v>
      </c>
      <c r="M112" t="s">
        <v>588</v>
      </c>
      <c r="N112" t="s">
        <v>589</v>
      </c>
      <c r="O112">
        <v>4011.79</v>
      </c>
      <c r="P112" s="2">
        <f t="shared" si="0"/>
        <v>40117.9</v>
      </c>
      <c r="Q112" s="1">
        <v>6017.68</v>
      </c>
      <c r="R112" s="1">
        <f t="shared" si="1"/>
        <v>20058.900000000001</v>
      </c>
      <c r="S112" s="1">
        <v>60176.800000000003</v>
      </c>
      <c r="T112">
        <v>2005.89</v>
      </c>
      <c r="U112">
        <v>60176.800000000003</v>
      </c>
      <c r="V112" t="s">
        <v>590</v>
      </c>
      <c r="W112" t="s">
        <v>591</v>
      </c>
    </row>
    <row r="113" spans="1:23" x14ac:dyDescent="0.3">
      <c r="A113">
        <v>184</v>
      </c>
      <c r="B113" t="s">
        <v>592</v>
      </c>
      <c r="C113" t="s">
        <v>593</v>
      </c>
      <c r="D113">
        <v>10</v>
      </c>
      <c r="E113" s="2">
        <v>2124.7800000000002</v>
      </c>
      <c r="F113">
        <v>21247.8</v>
      </c>
      <c r="G113" t="s">
        <v>23</v>
      </c>
      <c r="H113" t="s">
        <v>502</v>
      </c>
      <c r="I113" t="s">
        <v>503</v>
      </c>
      <c r="J113" t="s">
        <v>26</v>
      </c>
      <c r="K113" t="s">
        <v>27</v>
      </c>
      <c r="L113" t="s">
        <v>28</v>
      </c>
      <c r="M113" t="s">
        <v>594</v>
      </c>
      <c r="N113" t="s">
        <v>595</v>
      </c>
      <c r="O113">
        <v>1499</v>
      </c>
      <c r="P113" s="2">
        <f t="shared" si="0"/>
        <v>14990</v>
      </c>
      <c r="Q113" s="1">
        <v>2248.5</v>
      </c>
      <c r="R113" s="1">
        <f t="shared" si="1"/>
        <v>7495</v>
      </c>
      <c r="S113" s="1">
        <v>22485</v>
      </c>
      <c r="T113">
        <v>749.5</v>
      </c>
      <c r="U113">
        <v>22485</v>
      </c>
      <c r="V113" t="s">
        <v>596</v>
      </c>
      <c r="W113" t="s">
        <v>597</v>
      </c>
    </row>
    <row r="114" spans="1:23" x14ac:dyDescent="0.3">
      <c r="A114">
        <v>185</v>
      </c>
      <c r="B114" t="s">
        <v>548</v>
      </c>
      <c r="C114" t="s">
        <v>598</v>
      </c>
      <c r="D114">
        <v>20</v>
      </c>
      <c r="E114" s="2">
        <v>26.65</v>
      </c>
      <c r="F114">
        <v>533</v>
      </c>
      <c r="G114" t="s">
        <v>23</v>
      </c>
      <c r="H114" t="s">
        <v>502</v>
      </c>
      <c r="I114" t="s">
        <v>503</v>
      </c>
      <c r="J114" t="s">
        <v>26</v>
      </c>
      <c r="K114" t="s">
        <v>27</v>
      </c>
      <c r="L114" t="s">
        <v>28</v>
      </c>
      <c r="M114" t="s">
        <v>278</v>
      </c>
      <c r="N114" t="s">
        <v>599</v>
      </c>
      <c r="O114">
        <v>21.9</v>
      </c>
      <c r="P114" s="2">
        <f t="shared" si="0"/>
        <v>438</v>
      </c>
      <c r="Q114" s="1">
        <v>32.85</v>
      </c>
      <c r="R114" s="1">
        <f t="shared" si="1"/>
        <v>219.00000000000006</v>
      </c>
      <c r="S114" s="1">
        <v>657</v>
      </c>
      <c r="T114">
        <v>10.95</v>
      </c>
      <c r="U114">
        <v>657</v>
      </c>
      <c r="V114" t="s">
        <v>600</v>
      </c>
      <c r="W114" t="s">
        <v>601</v>
      </c>
    </row>
    <row r="115" spans="1:23" x14ac:dyDescent="0.3">
      <c r="A115">
        <v>186</v>
      </c>
      <c r="B115" t="s">
        <v>548</v>
      </c>
      <c r="C115" t="s">
        <v>602</v>
      </c>
      <c r="D115">
        <v>15</v>
      </c>
      <c r="E115" s="2">
        <v>26.65</v>
      </c>
      <c r="F115">
        <v>399.75</v>
      </c>
      <c r="G115" t="s">
        <v>23</v>
      </c>
      <c r="H115" t="s">
        <v>502</v>
      </c>
      <c r="I115" t="s">
        <v>503</v>
      </c>
      <c r="J115" t="s">
        <v>26</v>
      </c>
      <c r="K115" t="s">
        <v>27</v>
      </c>
      <c r="L115" t="s">
        <v>28</v>
      </c>
      <c r="M115" t="s">
        <v>278</v>
      </c>
      <c r="N115" t="s">
        <v>599</v>
      </c>
      <c r="O115">
        <v>21.9</v>
      </c>
      <c r="P115" s="2">
        <f t="shared" si="0"/>
        <v>328.5</v>
      </c>
      <c r="Q115" s="1">
        <v>32.85</v>
      </c>
      <c r="R115" s="1">
        <f t="shared" si="1"/>
        <v>164.25000000000006</v>
      </c>
      <c r="S115" s="1">
        <v>492.75</v>
      </c>
      <c r="T115">
        <v>10.95</v>
      </c>
      <c r="U115">
        <v>492.75</v>
      </c>
      <c r="V115" t="s">
        <v>603</v>
      </c>
      <c r="W115" t="s">
        <v>601</v>
      </c>
    </row>
    <row r="116" spans="1:23" x14ac:dyDescent="0.3">
      <c r="A116">
        <v>187</v>
      </c>
      <c r="B116" t="s">
        <v>604</v>
      </c>
      <c r="C116" t="s">
        <v>605</v>
      </c>
      <c r="D116">
        <v>30</v>
      </c>
      <c r="E116" s="2">
        <v>201.82</v>
      </c>
      <c r="F116">
        <v>6054.6</v>
      </c>
      <c r="G116" t="s">
        <v>23</v>
      </c>
      <c r="H116" t="s">
        <v>502</v>
      </c>
      <c r="I116" t="s">
        <v>503</v>
      </c>
      <c r="J116" t="s">
        <v>26</v>
      </c>
      <c r="K116" t="s">
        <v>27</v>
      </c>
      <c r="L116" t="s">
        <v>28</v>
      </c>
      <c r="M116" t="s">
        <v>606</v>
      </c>
      <c r="N116" t="s">
        <v>607</v>
      </c>
      <c r="O116">
        <v>59.9</v>
      </c>
      <c r="P116" s="2">
        <f t="shared" si="0"/>
        <v>1797</v>
      </c>
      <c r="Q116" s="1">
        <v>89.85</v>
      </c>
      <c r="R116" s="1">
        <f t="shared" si="1"/>
        <v>898.49999999999989</v>
      </c>
      <c r="S116" s="1">
        <v>2695.5</v>
      </c>
      <c r="T116">
        <v>29.95</v>
      </c>
      <c r="U116">
        <v>2695.5</v>
      </c>
      <c r="V116" t="s">
        <v>608</v>
      </c>
      <c r="W116" t="s">
        <v>609</v>
      </c>
    </row>
    <row r="117" spans="1:23" x14ac:dyDescent="0.3">
      <c r="A117">
        <v>188</v>
      </c>
      <c r="B117" t="s">
        <v>610</v>
      </c>
      <c r="C117" t="s">
        <v>611</v>
      </c>
      <c r="D117">
        <v>60</v>
      </c>
      <c r="E117" s="2">
        <v>277.17</v>
      </c>
      <c r="F117">
        <v>16630.2</v>
      </c>
      <c r="G117" t="s">
        <v>23</v>
      </c>
      <c r="H117" t="s">
        <v>502</v>
      </c>
      <c r="I117" t="s">
        <v>503</v>
      </c>
      <c r="J117" t="s">
        <v>26</v>
      </c>
      <c r="K117" t="s">
        <v>27</v>
      </c>
      <c r="L117" t="s">
        <v>28</v>
      </c>
      <c r="M117" t="s">
        <v>606</v>
      </c>
      <c r="N117" t="s">
        <v>612</v>
      </c>
      <c r="O117">
        <v>49.9</v>
      </c>
      <c r="P117" s="2">
        <f t="shared" si="0"/>
        <v>2994</v>
      </c>
      <c r="Q117" s="1">
        <v>74.849999999999994</v>
      </c>
      <c r="R117" s="1">
        <f t="shared" si="1"/>
        <v>1496.9999999999998</v>
      </c>
      <c r="S117" s="1">
        <v>4491</v>
      </c>
      <c r="T117">
        <v>24.95</v>
      </c>
      <c r="U117">
        <v>4491</v>
      </c>
      <c r="V117" t="s">
        <v>613</v>
      </c>
      <c r="W117" t="s">
        <v>614</v>
      </c>
    </row>
    <row r="118" spans="1:23" x14ac:dyDescent="0.3">
      <c r="A118">
        <v>189</v>
      </c>
      <c r="B118" t="s">
        <v>615</v>
      </c>
      <c r="C118" t="s">
        <v>616</v>
      </c>
      <c r="D118">
        <v>30</v>
      </c>
      <c r="E118" s="2">
        <v>170.94</v>
      </c>
      <c r="F118">
        <v>5128.2</v>
      </c>
      <c r="G118" t="s">
        <v>23</v>
      </c>
      <c r="H118" t="s">
        <v>502</v>
      </c>
      <c r="I118" t="s">
        <v>503</v>
      </c>
      <c r="J118" t="s">
        <v>26</v>
      </c>
      <c r="K118" t="s">
        <v>27</v>
      </c>
      <c r="L118" t="s">
        <v>28</v>
      </c>
      <c r="M118" t="s">
        <v>278</v>
      </c>
      <c r="N118" t="s">
        <v>617</v>
      </c>
      <c r="O118">
        <v>42.9</v>
      </c>
      <c r="P118" s="2">
        <f t="shared" si="0"/>
        <v>1287</v>
      </c>
      <c r="Q118" s="1">
        <v>64.349999999999994</v>
      </c>
      <c r="R118" s="1">
        <f t="shared" si="1"/>
        <v>643.49999999999989</v>
      </c>
      <c r="S118" s="1">
        <v>1930.5</v>
      </c>
      <c r="T118">
        <v>21.45</v>
      </c>
      <c r="U118">
        <v>1930.5</v>
      </c>
      <c r="V118" t="s">
        <v>618</v>
      </c>
    </row>
    <row r="119" spans="1:23" x14ac:dyDescent="0.3">
      <c r="A119">
        <v>190</v>
      </c>
      <c r="B119" t="s">
        <v>615</v>
      </c>
      <c r="C119" t="s">
        <v>619</v>
      </c>
      <c r="D119">
        <v>100</v>
      </c>
      <c r="E119" s="2">
        <v>19.41</v>
      </c>
      <c r="F119">
        <v>1941</v>
      </c>
      <c r="G119" t="s">
        <v>23</v>
      </c>
      <c r="H119" t="s">
        <v>502</v>
      </c>
      <c r="I119" t="s">
        <v>503</v>
      </c>
      <c r="J119" t="s">
        <v>26</v>
      </c>
      <c r="K119" t="s">
        <v>27</v>
      </c>
      <c r="L119" t="s">
        <v>159</v>
      </c>
      <c r="M119" t="s">
        <v>27</v>
      </c>
      <c r="N119" t="s">
        <v>27</v>
      </c>
      <c r="O119">
        <v>0</v>
      </c>
      <c r="P119" s="2">
        <f t="shared" si="0"/>
        <v>0</v>
      </c>
      <c r="Q119" s="1">
        <v>0</v>
      </c>
      <c r="R119" s="1">
        <f t="shared" si="1"/>
        <v>0</v>
      </c>
      <c r="S119" s="1">
        <v>0</v>
      </c>
      <c r="T119">
        <v>0</v>
      </c>
      <c r="U119">
        <v>0</v>
      </c>
      <c r="V119" t="s">
        <v>620</v>
      </c>
      <c r="W119" t="s">
        <v>621</v>
      </c>
    </row>
    <row r="120" spans="1:23" x14ac:dyDescent="0.3">
      <c r="A120">
        <v>191</v>
      </c>
      <c r="B120" t="s">
        <v>88</v>
      </c>
      <c r="C120" t="s">
        <v>622</v>
      </c>
      <c r="D120">
        <v>20</v>
      </c>
      <c r="E120" s="2">
        <v>276.83</v>
      </c>
      <c r="F120">
        <v>5536.6</v>
      </c>
      <c r="G120" t="s">
        <v>23</v>
      </c>
      <c r="H120" t="s">
        <v>502</v>
      </c>
      <c r="I120" t="s">
        <v>503</v>
      </c>
      <c r="J120" t="s">
        <v>26</v>
      </c>
      <c r="K120" t="s">
        <v>27</v>
      </c>
      <c r="L120" t="s">
        <v>28</v>
      </c>
      <c r="M120" t="s">
        <v>433</v>
      </c>
      <c r="N120" t="s">
        <v>623</v>
      </c>
      <c r="O120">
        <v>187.84</v>
      </c>
      <c r="P120" s="2">
        <f t="shared" si="0"/>
        <v>3756.8</v>
      </c>
      <c r="Q120" s="1">
        <v>281.76</v>
      </c>
      <c r="R120" s="1">
        <f t="shared" si="1"/>
        <v>1878.3999999999996</v>
      </c>
      <c r="S120" s="1">
        <v>5635.2</v>
      </c>
      <c r="T120">
        <v>93.92</v>
      </c>
      <c r="U120">
        <v>5635.2</v>
      </c>
      <c r="V120" t="s">
        <v>624</v>
      </c>
    </row>
    <row r="121" spans="1:23" x14ac:dyDescent="0.3">
      <c r="A121">
        <v>192</v>
      </c>
      <c r="B121" t="s">
        <v>130</v>
      </c>
      <c r="C121" t="s">
        <v>625</v>
      </c>
      <c r="D121">
        <v>20</v>
      </c>
      <c r="E121" s="2">
        <v>124.33</v>
      </c>
      <c r="F121">
        <v>2486.6</v>
      </c>
      <c r="G121" t="s">
        <v>23</v>
      </c>
      <c r="H121" t="s">
        <v>502</v>
      </c>
      <c r="I121" t="s">
        <v>503</v>
      </c>
      <c r="J121" t="s">
        <v>26</v>
      </c>
      <c r="K121" t="s">
        <v>27</v>
      </c>
      <c r="L121" t="s">
        <v>28</v>
      </c>
      <c r="M121" t="s">
        <v>56</v>
      </c>
      <c r="N121" t="s">
        <v>626</v>
      </c>
      <c r="O121">
        <v>27.83</v>
      </c>
      <c r="P121" s="2">
        <f t="shared" si="0"/>
        <v>556.59999999999991</v>
      </c>
      <c r="Q121" s="1">
        <v>41.74</v>
      </c>
      <c r="R121" s="1">
        <f t="shared" si="1"/>
        <v>278.20000000000005</v>
      </c>
      <c r="S121" s="1">
        <v>834.8</v>
      </c>
      <c r="T121">
        <v>13.91</v>
      </c>
      <c r="U121">
        <v>834.8</v>
      </c>
      <c r="V121" t="s">
        <v>627</v>
      </c>
      <c r="W121" t="s">
        <v>628</v>
      </c>
    </row>
    <row r="122" spans="1:23" x14ac:dyDescent="0.3">
      <c r="A122">
        <v>193</v>
      </c>
      <c r="B122" t="s">
        <v>629</v>
      </c>
      <c r="C122" t="s">
        <v>630</v>
      </c>
      <c r="D122">
        <v>100</v>
      </c>
      <c r="E122" s="2">
        <v>24.94</v>
      </c>
      <c r="F122">
        <v>2494</v>
      </c>
      <c r="G122" t="s">
        <v>23</v>
      </c>
      <c r="H122" t="s">
        <v>502</v>
      </c>
      <c r="I122" t="s">
        <v>503</v>
      </c>
      <c r="J122" t="s">
        <v>26</v>
      </c>
      <c r="K122" t="s">
        <v>27</v>
      </c>
      <c r="L122" t="s">
        <v>164</v>
      </c>
      <c r="M122" t="s">
        <v>606</v>
      </c>
      <c r="N122" t="s">
        <v>631</v>
      </c>
      <c r="O122">
        <v>10.119999999999999</v>
      </c>
      <c r="P122" s="2">
        <f t="shared" si="0"/>
        <v>1011.9999999999999</v>
      </c>
      <c r="Q122" s="1">
        <v>15.18</v>
      </c>
      <c r="R122" s="1">
        <f t="shared" si="1"/>
        <v>506.00000000000006</v>
      </c>
      <c r="S122" s="1">
        <v>1518</v>
      </c>
      <c r="T122">
        <v>5.0599999999999996</v>
      </c>
      <c r="U122">
        <v>1518</v>
      </c>
      <c r="V122" t="s">
        <v>632</v>
      </c>
    </row>
    <row r="123" spans="1:23" x14ac:dyDescent="0.3">
      <c r="A123">
        <v>194</v>
      </c>
      <c r="B123" t="s">
        <v>633</v>
      </c>
      <c r="C123" t="s">
        <v>634</v>
      </c>
      <c r="D123">
        <v>100</v>
      </c>
      <c r="E123" s="2">
        <v>64.58</v>
      </c>
      <c r="F123">
        <v>6458</v>
      </c>
      <c r="G123" t="s">
        <v>446</v>
      </c>
      <c r="H123" t="s">
        <v>502</v>
      </c>
      <c r="I123" t="s">
        <v>503</v>
      </c>
      <c r="J123" t="s">
        <v>26</v>
      </c>
      <c r="K123" t="s">
        <v>27</v>
      </c>
      <c r="L123" t="s">
        <v>28</v>
      </c>
      <c r="M123" t="s">
        <v>606</v>
      </c>
      <c r="N123" t="s">
        <v>635</v>
      </c>
      <c r="O123">
        <v>18.899999999999999</v>
      </c>
      <c r="P123" s="2">
        <f t="shared" si="0"/>
        <v>1889.9999999999998</v>
      </c>
      <c r="Q123" s="1">
        <v>28.35</v>
      </c>
      <c r="R123" s="1">
        <f t="shared" si="1"/>
        <v>945.00000000000023</v>
      </c>
      <c r="S123" s="1">
        <v>2835</v>
      </c>
      <c r="T123">
        <v>9.4499999999999993</v>
      </c>
      <c r="U123">
        <v>2835</v>
      </c>
      <c r="V123" t="s">
        <v>636</v>
      </c>
    </row>
    <row r="124" spans="1:23" x14ac:dyDescent="0.3">
      <c r="A124">
        <v>195</v>
      </c>
      <c r="B124" t="s">
        <v>633</v>
      </c>
      <c r="C124" t="s">
        <v>637</v>
      </c>
      <c r="D124">
        <v>100</v>
      </c>
      <c r="E124" s="2">
        <v>64.58</v>
      </c>
      <c r="F124">
        <v>6458</v>
      </c>
      <c r="G124" t="s">
        <v>446</v>
      </c>
      <c r="H124" t="s">
        <v>502</v>
      </c>
      <c r="I124" t="s">
        <v>503</v>
      </c>
      <c r="J124" t="s">
        <v>26</v>
      </c>
      <c r="K124" t="s">
        <v>27</v>
      </c>
      <c r="L124" t="s">
        <v>28</v>
      </c>
      <c r="M124" t="s">
        <v>606</v>
      </c>
      <c r="N124" t="s">
        <v>638</v>
      </c>
      <c r="O124">
        <v>21.9</v>
      </c>
      <c r="P124" s="2">
        <f t="shared" si="0"/>
        <v>2190</v>
      </c>
      <c r="Q124" s="1">
        <v>32.85</v>
      </c>
      <c r="R124" s="1">
        <f t="shared" si="1"/>
        <v>1095.0000000000002</v>
      </c>
      <c r="S124" s="1">
        <v>3285</v>
      </c>
      <c r="T124">
        <v>10.95</v>
      </c>
      <c r="U124">
        <v>3285</v>
      </c>
      <c r="V124" t="s">
        <v>639</v>
      </c>
    </row>
    <row r="125" spans="1:23" x14ac:dyDescent="0.3">
      <c r="A125">
        <v>196</v>
      </c>
      <c r="B125" t="s">
        <v>640</v>
      </c>
      <c r="C125" t="s">
        <v>641</v>
      </c>
      <c r="D125">
        <v>24</v>
      </c>
      <c r="E125" s="2">
        <v>1205.1600000000001</v>
      </c>
      <c r="F125">
        <v>28923.84</v>
      </c>
      <c r="G125" t="s">
        <v>23</v>
      </c>
      <c r="H125" t="s">
        <v>502</v>
      </c>
      <c r="I125" t="s">
        <v>503</v>
      </c>
      <c r="J125" t="s">
        <v>26</v>
      </c>
      <c r="K125" t="s">
        <v>27</v>
      </c>
      <c r="L125" t="s">
        <v>28</v>
      </c>
      <c r="M125" t="s">
        <v>606</v>
      </c>
      <c r="N125" t="s">
        <v>891</v>
      </c>
      <c r="O125">
        <v>795.99</v>
      </c>
      <c r="P125" s="2">
        <f t="shared" si="0"/>
        <v>19103.760000000002</v>
      </c>
      <c r="Q125" s="1">
        <v>1193.99</v>
      </c>
      <c r="R125" s="1">
        <f t="shared" si="1"/>
        <v>9552</v>
      </c>
      <c r="S125" s="1">
        <v>28655.759999999998</v>
      </c>
      <c r="T125">
        <v>398</v>
      </c>
      <c r="U125">
        <v>28655.759999999998</v>
      </c>
      <c r="V125" t="s">
        <v>643</v>
      </c>
      <c r="W125" t="s">
        <v>644</v>
      </c>
    </row>
    <row r="126" spans="1:23" x14ac:dyDescent="0.3">
      <c r="A126">
        <v>197</v>
      </c>
      <c r="B126" t="s">
        <v>645</v>
      </c>
      <c r="C126" t="s">
        <v>646</v>
      </c>
      <c r="D126">
        <v>10</v>
      </c>
      <c r="E126" s="2">
        <v>1364.22</v>
      </c>
      <c r="F126">
        <v>13642.2</v>
      </c>
      <c r="G126" t="s">
        <v>23</v>
      </c>
      <c r="H126" t="s">
        <v>502</v>
      </c>
      <c r="I126" t="s">
        <v>503</v>
      </c>
      <c r="J126" t="s">
        <v>26</v>
      </c>
      <c r="K126" t="s">
        <v>27</v>
      </c>
      <c r="L126" t="s">
        <v>28</v>
      </c>
      <c r="M126" t="s">
        <v>559</v>
      </c>
      <c r="N126" t="s">
        <v>647</v>
      </c>
      <c r="O126">
        <v>513</v>
      </c>
      <c r="P126" s="2">
        <f t="shared" si="0"/>
        <v>5130</v>
      </c>
      <c r="Q126" s="1">
        <v>769.5</v>
      </c>
      <c r="R126" s="1">
        <f t="shared" si="1"/>
        <v>2565</v>
      </c>
      <c r="S126" s="1">
        <v>7695</v>
      </c>
      <c r="T126">
        <v>256.5</v>
      </c>
      <c r="U126">
        <v>7695</v>
      </c>
      <c r="V126" t="s">
        <v>648</v>
      </c>
      <c r="W126" t="s">
        <v>649</v>
      </c>
    </row>
    <row r="127" spans="1:23" x14ac:dyDescent="0.3">
      <c r="A127">
        <v>198</v>
      </c>
      <c r="B127" t="s">
        <v>645</v>
      </c>
      <c r="C127" t="s">
        <v>882</v>
      </c>
      <c r="D127">
        <v>10</v>
      </c>
      <c r="E127" s="2">
        <v>1364.22</v>
      </c>
      <c r="F127">
        <v>13642.2</v>
      </c>
      <c r="G127" t="s">
        <v>23</v>
      </c>
      <c r="H127" t="s">
        <v>502</v>
      </c>
      <c r="I127" t="s">
        <v>503</v>
      </c>
      <c r="J127" t="s">
        <v>26</v>
      </c>
      <c r="K127" t="s">
        <v>27</v>
      </c>
      <c r="L127" t="s">
        <v>28</v>
      </c>
      <c r="M127" t="s">
        <v>559</v>
      </c>
      <c r="N127" t="s">
        <v>647</v>
      </c>
      <c r="O127">
        <v>513</v>
      </c>
      <c r="P127" s="2">
        <f t="shared" si="0"/>
        <v>5130</v>
      </c>
      <c r="Q127" s="1">
        <v>769.5</v>
      </c>
      <c r="R127" s="1">
        <f t="shared" si="1"/>
        <v>2565</v>
      </c>
      <c r="S127" s="1">
        <v>7695</v>
      </c>
      <c r="T127">
        <v>256.5</v>
      </c>
      <c r="U127">
        <v>7695</v>
      </c>
      <c r="V127" t="s">
        <v>883</v>
      </c>
      <c r="W127" t="s">
        <v>884</v>
      </c>
    </row>
    <row r="128" spans="1:23" x14ac:dyDescent="0.3">
      <c r="A128">
        <v>199</v>
      </c>
      <c r="B128" t="s">
        <v>168</v>
      </c>
      <c r="C128" t="s">
        <v>650</v>
      </c>
      <c r="D128">
        <v>80</v>
      </c>
      <c r="E128" s="2">
        <v>365.02</v>
      </c>
      <c r="F128">
        <v>29201.599999999999</v>
      </c>
      <c r="G128" t="s">
        <v>23</v>
      </c>
      <c r="H128" t="s">
        <v>502</v>
      </c>
      <c r="I128" t="s">
        <v>503</v>
      </c>
      <c r="J128" t="s">
        <v>26</v>
      </c>
      <c r="K128" t="s">
        <v>27</v>
      </c>
      <c r="L128" t="s">
        <v>28</v>
      </c>
      <c r="M128" t="s">
        <v>651</v>
      </c>
      <c r="N128" t="s">
        <v>652</v>
      </c>
      <c r="O128">
        <v>246.83</v>
      </c>
      <c r="P128" s="2">
        <f t="shared" si="0"/>
        <v>19746.400000000001</v>
      </c>
      <c r="Q128" s="1">
        <v>370.25</v>
      </c>
      <c r="R128" s="1">
        <f t="shared" si="1"/>
        <v>9873.5999999999985</v>
      </c>
      <c r="S128" s="1">
        <v>29620</v>
      </c>
      <c r="T128">
        <v>123.42</v>
      </c>
      <c r="U128">
        <v>29620</v>
      </c>
      <c r="V128" t="s">
        <v>653</v>
      </c>
      <c r="W128" t="s">
        <v>654</v>
      </c>
    </row>
    <row r="129" spans="1:23" x14ac:dyDescent="0.3">
      <c r="A129">
        <v>200</v>
      </c>
      <c r="B129" t="s">
        <v>162</v>
      </c>
      <c r="C129" t="s">
        <v>655</v>
      </c>
      <c r="D129">
        <v>30</v>
      </c>
      <c r="E129" s="2">
        <v>855.19</v>
      </c>
      <c r="F129">
        <v>25655.7</v>
      </c>
      <c r="G129" t="s">
        <v>23</v>
      </c>
      <c r="H129" t="s">
        <v>502</v>
      </c>
      <c r="I129" t="s">
        <v>503</v>
      </c>
      <c r="J129" t="s">
        <v>26</v>
      </c>
      <c r="K129" t="s">
        <v>27</v>
      </c>
      <c r="L129" t="s">
        <v>28</v>
      </c>
      <c r="M129" t="s">
        <v>300</v>
      </c>
      <c r="N129" t="s">
        <v>656</v>
      </c>
      <c r="O129">
        <v>529.72</v>
      </c>
      <c r="P129" s="2">
        <f t="shared" si="0"/>
        <v>15891.6</v>
      </c>
      <c r="Q129" s="1">
        <v>794.58</v>
      </c>
      <c r="R129" s="1">
        <f t="shared" si="1"/>
        <v>7945.8</v>
      </c>
      <c r="S129" s="1">
        <v>23837.4</v>
      </c>
      <c r="T129">
        <v>264.86</v>
      </c>
      <c r="U129">
        <v>23837.4</v>
      </c>
      <c r="V129" t="s">
        <v>657</v>
      </c>
      <c r="W129" t="s">
        <v>658</v>
      </c>
    </row>
    <row r="130" spans="1:23" x14ac:dyDescent="0.3">
      <c r="A130">
        <v>201</v>
      </c>
      <c r="B130" t="s">
        <v>548</v>
      </c>
      <c r="C130" t="s">
        <v>659</v>
      </c>
      <c r="D130">
        <v>20</v>
      </c>
      <c r="E130" s="2">
        <v>577.66999999999996</v>
      </c>
      <c r="F130">
        <v>11553.4</v>
      </c>
      <c r="G130" t="s">
        <v>23</v>
      </c>
      <c r="H130" t="s">
        <v>502</v>
      </c>
      <c r="I130" t="s">
        <v>503</v>
      </c>
      <c r="J130" t="s">
        <v>26</v>
      </c>
      <c r="K130" t="s">
        <v>27</v>
      </c>
      <c r="L130" t="s">
        <v>28</v>
      </c>
      <c r="M130" t="s">
        <v>660</v>
      </c>
      <c r="N130" t="s">
        <v>661</v>
      </c>
      <c r="O130">
        <v>340.42</v>
      </c>
      <c r="P130" s="2">
        <f t="shared" si="0"/>
        <v>6808.4000000000005</v>
      </c>
      <c r="Q130" s="1">
        <v>510.63</v>
      </c>
      <c r="R130" s="1">
        <f t="shared" si="1"/>
        <v>3404.2</v>
      </c>
      <c r="S130" s="1">
        <v>10212.6</v>
      </c>
      <c r="T130">
        <v>170.21</v>
      </c>
      <c r="U130">
        <v>10212.6</v>
      </c>
      <c r="V130" t="s">
        <v>662</v>
      </c>
      <c r="W130" t="s">
        <v>663</v>
      </c>
    </row>
    <row r="131" spans="1:23" x14ac:dyDescent="0.3">
      <c r="A131">
        <v>202</v>
      </c>
      <c r="B131" t="s">
        <v>548</v>
      </c>
      <c r="C131" t="s">
        <v>664</v>
      </c>
      <c r="D131">
        <v>30</v>
      </c>
      <c r="E131" s="2">
        <v>549.54</v>
      </c>
      <c r="F131">
        <v>16486.2</v>
      </c>
      <c r="G131" t="s">
        <v>23</v>
      </c>
      <c r="H131" t="s">
        <v>502</v>
      </c>
      <c r="I131" t="s">
        <v>503</v>
      </c>
      <c r="J131" t="s">
        <v>26</v>
      </c>
      <c r="K131" t="s">
        <v>27</v>
      </c>
      <c r="L131" t="s">
        <v>28</v>
      </c>
      <c r="M131" t="s">
        <v>660</v>
      </c>
      <c r="N131" t="s">
        <v>665</v>
      </c>
      <c r="O131">
        <v>340.42</v>
      </c>
      <c r="P131" s="2">
        <f t="shared" si="0"/>
        <v>10212.6</v>
      </c>
      <c r="Q131" s="1">
        <v>510.63</v>
      </c>
      <c r="R131" s="1">
        <f t="shared" si="1"/>
        <v>5106.2999999999993</v>
      </c>
      <c r="S131" s="1">
        <v>15318.9</v>
      </c>
      <c r="T131">
        <v>170.21</v>
      </c>
      <c r="U131">
        <v>15318.9</v>
      </c>
      <c r="V131" t="s">
        <v>666</v>
      </c>
    </row>
    <row r="132" spans="1:23" hidden="1" x14ac:dyDescent="0.3">
      <c r="A132">
        <v>1</v>
      </c>
      <c r="B132" t="s">
        <v>672</v>
      </c>
      <c r="C132" t="s">
        <v>673</v>
      </c>
      <c r="D132">
        <v>3</v>
      </c>
      <c r="E132">
        <v>78</v>
      </c>
      <c r="F132">
        <v>390</v>
      </c>
      <c r="G132" t="s">
        <v>23</v>
      </c>
      <c r="H132" t="s">
        <v>674</v>
      </c>
      <c r="I132" t="s">
        <v>675</v>
      </c>
      <c r="J132" t="s">
        <v>26</v>
      </c>
      <c r="K132" t="s">
        <v>27</v>
      </c>
      <c r="L132" t="s">
        <v>28</v>
      </c>
      <c r="M132" t="s">
        <v>61</v>
      </c>
      <c r="N132" t="s">
        <v>375</v>
      </c>
      <c r="O132">
        <v>42.45</v>
      </c>
      <c r="Q132">
        <v>63.68</v>
      </c>
      <c r="R132"/>
      <c r="S132">
        <v>191.04</v>
      </c>
      <c r="T132">
        <v>21.23</v>
      </c>
      <c r="U132">
        <v>191.04</v>
      </c>
      <c r="V132" t="s">
        <v>676</v>
      </c>
    </row>
    <row r="133" spans="1:23" hidden="1" x14ac:dyDescent="0.3">
      <c r="A133">
        <v>2</v>
      </c>
      <c r="B133" t="s">
        <v>677</v>
      </c>
      <c r="C133" t="s">
        <v>678</v>
      </c>
      <c r="D133">
        <v>2</v>
      </c>
      <c r="E133">
        <v>172.52</v>
      </c>
      <c r="F133">
        <v>862.6</v>
      </c>
      <c r="G133" t="s">
        <v>23</v>
      </c>
      <c r="H133" t="s">
        <v>674</v>
      </c>
      <c r="I133" t="s">
        <v>675</v>
      </c>
      <c r="J133" t="s">
        <v>26</v>
      </c>
      <c r="K133" t="s">
        <v>27</v>
      </c>
      <c r="L133" t="s">
        <v>28</v>
      </c>
      <c r="M133" t="s">
        <v>61</v>
      </c>
      <c r="N133" t="s">
        <v>679</v>
      </c>
      <c r="O133">
        <v>52.75</v>
      </c>
      <c r="Q133">
        <v>79.12</v>
      </c>
      <c r="R133"/>
      <c r="S133">
        <v>158.24</v>
      </c>
      <c r="T133">
        <v>26.37</v>
      </c>
      <c r="U133">
        <v>158.24</v>
      </c>
      <c r="V133" t="s">
        <v>680</v>
      </c>
      <c r="W133" t="s">
        <v>681</v>
      </c>
    </row>
    <row r="134" spans="1:23" hidden="1" x14ac:dyDescent="0.3">
      <c r="A134">
        <v>3</v>
      </c>
      <c r="B134" t="s">
        <v>682</v>
      </c>
      <c r="C134" t="s">
        <v>683</v>
      </c>
      <c r="D134">
        <v>2</v>
      </c>
      <c r="E134">
        <v>67.95</v>
      </c>
      <c r="F134">
        <v>339.75</v>
      </c>
      <c r="G134" t="s">
        <v>23</v>
      </c>
      <c r="H134" t="s">
        <v>674</v>
      </c>
      <c r="I134" t="s">
        <v>675</v>
      </c>
      <c r="J134" t="s">
        <v>26</v>
      </c>
      <c r="K134" t="s">
        <v>27</v>
      </c>
      <c r="L134" t="s">
        <v>28</v>
      </c>
      <c r="M134" t="s">
        <v>56</v>
      </c>
      <c r="N134" t="s">
        <v>684</v>
      </c>
      <c r="O134">
        <v>21.43</v>
      </c>
      <c r="Q134">
        <v>32.14</v>
      </c>
      <c r="R134"/>
      <c r="S134">
        <v>64.28</v>
      </c>
      <c r="T134">
        <v>10.71</v>
      </c>
      <c r="U134">
        <v>64.28</v>
      </c>
      <c r="V134" t="s">
        <v>685</v>
      </c>
    </row>
    <row r="135" spans="1:23" hidden="1" x14ac:dyDescent="0.3">
      <c r="A135">
        <v>4</v>
      </c>
      <c r="B135" t="s">
        <v>686</v>
      </c>
      <c r="C135" t="s">
        <v>687</v>
      </c>
      <c r="D135">
        <v>6</v>
      </c>
      <c r="E135">
        <v>369</v>
      </c>
      <c r="F135">
        <v>1845</v>
      </c>
      <c r="G135" t="s">
        <v>23</v>
      </c>
      <c r="H135" t="s">
        <v>674</v>
      </c>
      <c r="I135" t="s">
        <v>675</v>
      </c>
      <c r="J135" t="s">
        <v>26</v>
      </c>
      <c r="K135" t="s">
        <v>27</v>
      </c>
      <c r="L135" t="s">
        <v>159</v>
      </c>
      <c r="M135" t="s">
        <v>27</v>
      </c>
      <c r="N135" t="s">
        <v>27</v>
      </c>
      <c r="O135">
        <v>0</v>
      </c>
      <c r="Q135">
        <v>0</v>
      </c>
      <c r="R135"/>
      <c r="S135">
        <v>0</v>
      </c>
      <c r="T135">
        <v>0</v>
      </c>
      <c r="U135">
        <v>0</v>
      </c>
      <c r="V135" t="s">
        <v>688</v>
      </c>
      <c r="W135" t="s">
        <v>689</v>
      </c>
    </row>
    <row r="136" spans="1:23" hidden="1" x14ac:dyDescent="0.3">
      <c r="A136">
        <v>5</v>
      </c>
      <c r="B136" t="s">
        <v>581</v>
      </c>
      <c r="C136" t="s">
        <v>690</v>
      </c>
      <c r="D136">
        <v>2</v>
      </c>
      <c r="E136">
        <v>25</v>
      </c>
      <c r="F136">
        <v>125</v>
      </c>
      <c r="G136" t="s">
        <v>23</v>
      </c>
      <c r="H136" t="s">
        <v>674</v>
      </c>
      <c r="I136" t="s">
        <v>675</v>
      </c>
      <c r="J136" t="s">
        <v>26</v>
      </c>
      <c r="K136" t="s">
        <v>27</v>
      </c>
      <c r="L136" t="s">
        <v>28</v>
      </c>
      <c r="M136" t="s">
        <v>56</v>
      </c>
      <c r="N136" t="s">
        <v>691</v>
      </c>
      <c r="O136">
        <v>11.36</v>
      </c>
      <c r="Q136">
        <v>17.04</v>
      </c>
      <c r="R136"/>
      <c r="S136">
        <v>34.08</v>
      </c>
      <c r="T136">
        <v>5.68</v>
      </c>
      <c r="U136">
        <v>34.08</v>
      </c>
      <c r="V136" t="s">
        <v>692</v>
      </c>
    </row>
    <row r="137" spans="1:23" hidden="1" x14ac:dyDescent="0.3">
      <c r="A137">
        <v>6</v>
      </c>
      <c r="B137" t="s">
        <v>570</v>
      </c>
      <c r="C137" t="s">
        <v>693</v>
      </c>
      <c r="D137">
        <v>2</v>
      </c>
      <c r="E137">
        <v>21</v>
      </c>
      <c r="F137">
        <v>105</v>
      </c>
      <c r="G137" t="s">
        <v>23</v>
      </c>
      <c r="H137" t="s">
        <v>674</v>
      </c>
      <c r="I137" t="s">
        <v>675</v>
      </c>
      <c r="J137" t="s">
        <v>26</v>
      </c>
      <c r="K137" t="s">
        <v>27</v>
      </c>
      <c r="L137" t="s">
        <v>28</v>
      </c>
      <c r="M137" t="s">
        <v>61</v>
      </c>
      <c r="N137" t="s">
        <v>694</v>
      </c>
      <c r="O137">
        <v>23.26</v>
      </c>
      <c r="Q137">
        <v>34.89</v>
      </c>
      <c r="R137"/>
      <c r="S137">
        <v>69.78</v>
      </c>
      <c r="T137">
        <v>11.63</v>
      </c>
      <c r="U137">
        <v>69.78</v>
      </c>
      <c r="V137" t="s">
        <v>695</v>
      </c>
      <c r="W137" t="s">
        <v>696</v>
      </c>
    </row>
    <row r="138" spans="1:23" hidden="1" x14ac:dyDescent="0.3">
      <c r="A138">
        <v>7</v>
      </c>
      <c r="B138" t="s">
        <v>570</v>
      </c>
      <c r="C138" t="s">
        <v>697</v>
      </c>
      <c r="D138">
        <v>2</v>
      </c>
      <c r="E138">
        <v>41.01</v>
      </c>
      <c r="F138">
        <v>205.05</v>
      </c>
      <c r="G138" t="s">
        <v>23</v>
      </c>
      <c r="H138" t="s">
        <v>674</v>
      </c>
      <c r="I138" t="s">
        <v>675</v>
      </c>
      <c r="J138" t="s">
        <v>26</v>
      </c>
      <c r="K138" t="s">
        <v>27</v>
      </c>
      <c r="L138" t="s">
        <v>159</v>
      </c>
      <c r="M138" t="s">
        <v>27</v>
      </c>
      <c r="N138" t="s">
        <v>27</v>
      </c>
      <c r="O138">
        <v>0</v>
      </c>
      <c r="Q138">
        <v>0</v>
      </c>
      <c r="R138"/>
      <c r="S138">
        <v>0</v>
      </c>
      <c r="T138">
        <v>0</v>
      </c>
      <c r="U138">
        <v>0</v>
      </c>
      <c r="V138" t="s">
        <v>698</v>
      </c>
      <c r="W138" t="s">
        <v>699</v>
      </c>
    </row>
    <row r="139" spans="1:23" hidden="1" x14ac:dyDescent="0.3">
      <c r="A139">
        <v>8</v>
      </c>
      <c r="B139" t="s">
        <v>700</v>
      </c>
      <c r="C139" t="s">
        <v>701</v>
      </c>
      <c r="D139">
        <v>2</v>
      </c>
      <c r="E139">
        <v>102.41</v>
      </c>
      <c r="F139">
        <v>307.23</v>
      </c>
      <c r="G139" t="s">
        <v>23</v>
      </c>
      <c r="H139" t="s">
        <v>674</v>
      </c>
      <c r="I139" t="s">
        <v>675</v>
      </c>
      <c r="J139" t="s">
        <v>26</v>
      </c>
      <c r="K139" t="s">
        <v>27</v>
      </c>
      <c r="L139" t="s">
        <v>28</v>
      </c>
      <c r="M139" t="s">
        <v>278</v>
      </c>
      <c r="N139" t="s">
        <v>702</v>
      </c>
      <c r="O139">
        <v>59.9</v>
      </c>
      <c r="Q139">
        <v>89.85</v>
      </c>
      <c r="R139"/>
      <c r="S139">
        <v>179.7</v>
      </c>
      <c r="T139">
        <v>29.95</v>
      </c>
      <c r="U139">
        <v>179.7</v>
      </c>
      <c r="V139" t="s">
        <v>703</v>
      </c>
      <c r="W139" t="s">
        <v>704</v>
      </c>
    </row>
    <row r="140" spans="1:23" hidden="1" x14ac:dyDescent="0.3">
      <c r="A140">
        <v>9</v>
      </c>
      <c r="B140" t="s">
        <v>705</v>
      </c>
      <c r="C140" t="s">
        <v>706</v>
      </c>
      <c r="D140">
        <v>2</v>
      </c>
      <c r="E140">
        <v>187.9</v>
      </c>
      <c r="F140">
        <v>563.70000000000005</v>
      </c>
      <c r="G140" t="s">
        <v>23</v>
      </c>
      <c r="H140" t="s">
        <v>674</v>
      </c>
      <c r="I140" t="s">
        <v>675</v>
      </c>
      <c r="J140" t="s">
        <v>26</v>
      </c>
      <c r="K140" t="s">
        <v>27</v>
      </c>
      <c r="L140" t="s">
        <v>28</v>
      </c>
      <c r="M140" t="s">
        <v>278</v>
      </c>
      <c r="N140" t="s">
        <v>409</v>
      </c>
      <c r="O140">
        <v>59.9</v>
      </c>
      <c r="Q140">
        <v>89.85</v>
      </c>
      <c r="R140"/>
      <c r="S140">
        <v>179.7</v>
      </c>
      <c r="T140">
        <v>29.95</v>
      </c>
      <c r="U140">
        <v>179.7</v>
      </c>
      <c r="V140" t="s">
        <v>707</v>
      </c>
      <c r="W140" t="s">
        <v>708</v>
      </c>
    </row>
    <row r="141" spans="1:23" hidden="1" x14ac:dyDescent="0.3">
      <c r="A141">
        <v>13</v>
      </c>
      <c r="B141" t="s">
        <v>604</v>
      </c>
      <c r="C141" t="s">
        <v>709</v>
      </c>
      <c r="D141">
        <v>3</v>
      </c>
      <c r="E141">
        <v>95</v>
      </c>
      <c r="F141">
        <v>285</v>
      </c>
      <c r="G141" t="s">
        <v>23</v>
      </c>
      <c r="H141" t="s">
        <v>674</v>
      </c>
      <c r="I141" t="s">
        <v>675</v>
      </c>
      <c r="J141" t="s">
        <v>26</v>
      </c>
      <c r="K141" t="s">
        <v>27</v>
      </c>
      <c r="L141" t="s">
        <v>159</v>
      </c>
      <c r="M141" t="s">
        <v>27</v>
      </c>
      <c r="N141" t="s">
        <v>27</v>
      </c>
      <c r="O141">
        <v>0</v>
      </c>
      <c r="Q141">
        <v>0</v>
      </c>
      <c r="R141"/>
      <c r="S141">
        <v>0</v>
      </c>
      <c r="T141">
        <v>0</v>
      </c>
      <c r="U141">
        <v>0</v>
      </c>
      <c r="V141" t="s">
        <v>710</v>
      </c>
      <c r="W141" t="s">
        <v>711</v>
      </c>
    </row>
    <row r="142" spans="1:23" hidden="1" x14ac:dyDescent="0.3">
      <c r="A142">
        <v>14</v>
      </c>
      <c r="B142" t="s">
        <v>712</v>
      </c>
      <c r="C142" t="s">
        <v>713</v>
      </c>
      <c r="D142">
        <v>3</v>
      </c>
      <c r="E142">
        <v>31.9</v>
      </c>
      <c r="F142">
        <v>319</v>
      </c>
      <c r="G142" t="s">
        <v>23</v>
      </c>
      <c r="H142" t="s">
        <v>674</v>
      </c>
      <c r="I142" t="s">
        <v>675</v>
      </c>
      <c r="J142" t="s">
        <v>26</v>
      </c>
      <c r="K142" t="s">
        <v>27</v>
      </c>
      <c r="L142" t="s">
        <v>28</v>
      </c>
      <c r="M142" t="s">
        <v>358</v>
      </c>
      <c r="N142" t="s">
        <v>714</v>
      </c>
      <c r="O142">
        <v>23.4</v>
      </c>
      <c r="Q142">
        <v>35.1</v>
      </c>
      <c r="R142"/>
      <c r="S142">
        <v>105.3</v>
      </c>
      <c r="T142">
        <v>11.7</v>
      </c>
      <c r="U142">
        <v>105.3</v>
      </c>
      <c r="V142" t="s">
        <v>715</v>
      </c>
      <c r="W142" t="s">
        <v>716</v>
      </c>
    </row>
    <row r="143" spans="1:23" hidden="1" x14ac:dyDescent="0.3">
      <c r="A143">
        <v>15</v>
      </c>
      <c r="B143" t="s">
        <v>717</v>
      </c>
      <c r="C143" t="s">
        <v>718</v>
      </c>
      <c r="D143">
        <v>3</v>
      </c>
      <c r="E143">
        <v>40</v>
      </c>
      <c r="F143">
        <v>400</v>
      </c>
      <c r="G143" t="s">
        <v>23</v>
      </c>
      <c r="H143" t="s">
        <v>674</v>
      </c>
      <c r="I143" t="s">
        <v>675</v>
      </c>
      <c r="J143" t="s">
        <v>26</v>
      </c>
      <c r="K143" t="s">
        <v>27</v>
      </c>
      <c r="L143" t="s">
        <v>164</v>
      </c>
      <c r="M143" t="s">
        <v>358</v>
      </c>
      <c r="N143" t="s">
        <v>719</v>
      </c>
      <c r="O143">
        <v>23.4</v>
      </c>
      <c r="Q143">
        <v>35.1</v>
      </c>
      <c r="R143"/>
      <c r="S143">
        <v>105.3</v>
      </c>
      <c r="T143">
        <v>11.7</v>
      </c>
      <c r="U143">
        <v>105.3</v>
      </c>
      <c r="V143" t="s">
        <v>720</v>
      </c>
      <c r="W143" t="s">
        <v>721</v>
      </c>
    </row>
    <row r="144" spans="1:23" hidden="1" x14ac:dyDescent="0.3">
      <c r="A144">
        <v>16</v>
      </c>
      <c r="B144" t="s">
        <v>722</v>
      </c>
      <c r="C144" t="s">
        <v>723</v>
      </c>
      <c r="D144">
        <v>3</v>
      </c>
      <c r="E144">
        <v>377.29</v>
      </c>
      <c r="F144">
        <v>3772.9</v>
      </c>
      <c r="G144" t="s">
        <v>23</v>
      </c>
      <c r="H144" t="s">
        <v>674</v>
      </c>
      <c r="I144" t="s">
        <v>675</v>
      </c>
      <c r="J144" t="s">
        <v>26</v>
      </c>
      <c r="K144" t="s">
        <v>27</v>
      </c>
      <c r="L144" t="s">
        <v>164</v>
      </c>
      <c r="M144" t="s">
        <v>358</v>
      </c>
      <c r="N144" t="s">
        <v>724</v>
      </c>
      <c r="O144">
        <v>234</v>
      </c>
      <c r="Q144">
        <v>351</v>
      </c>
      <c r="R144"/>
      <c r="S144">
        <v>1053</v>
      </c>
      <c r="T144">
        <v>117</v>
      </c>
      <c r="U144">
        <v>1053</v>
      </c>
      <c r="V144" t="s">
        <v>725</v>
      </c>
      <c r="W144" t="s">
        <v>721</v>
      </c>
    </row>
    <row r="145" spans="1:23" hidden="1" x14ac:dyDescent="0.3">
      <c r="A145">
        <v>17</v>
      </c>
      <c r="B145" t="s">
        <v>726</v>
      </c>
      <c r="C145" t="s">
        <v>727</v>
      </c>
      <c r="D145">
        <v>3</v>
      </c>
      <c r="E145">
        <v>41.77</v>
      </c>
      <c r="F145">
        <v>417.7</v>
      </c>
      <c r="G145" t="s">
        <v>23</v>
      </c>
      <c r="H145" t="s">
        <v>674</v>
      </c>
      <c r="I145" t="s">
        <v>675</v>
      </c>
      <c r="J145" t="s">
        <v>26</v>
      </c>
      <c r="K145" t="s">
        <v>27</v>
      </c>
      <c r="L145" t="s">
        <v>28</v>
      </c>
      <c r="M145" t="s">
        <v>358</v>
      </c>
      <c r="N145" t="s">
        <v>728</v>
      </c>
      <c r="O145">
        <v>298.02</v>
      </c>
      <c r="Q145">
        <v>447.03</v>
      </c>
      <c r="R145"/>
      <c r="S145">
        <v>1341.09</v>
      </c>
      <c r="T145">
        <v>149.01</v>
      </c>
      <c r="U145">
        <v>1341.09</v>
      </c>
      <c r="V145" t="s">
        <v>729</v>
      </c>
      <c r="W145" t="s">
        <v>730</v>
      </c>
    </row>
    <row r="146" spans="1:23" hidden="1" x14ac:dyDescent="0.3">
      <c r="A146">
        <v>18</v>
      </c>
      <c r="B146" t="s">
        <v>116</v>
      </c>
      <c r="C146" t="s">
        <v>731</v>
      </c>
      <c r="D146">
        <v>2</v>
      </c>
      <c r="E146">
        <v>393.9</v>
      </c>
      <c r="F146">
        <v>3939</v>
      </c>
      <c r="G146" t="s">
        <v>23</v>
      </c>
      <c r="H146" t="s">
        <v>674</v>
      </c>
      <c r="I146" t="s">
        <v>675</v>
      </c>
      <c r="J146" t="s">
        <v>26</v>
      </c>
      <c r="K146" t="s">
        <v>27</v>
      </c>
      <c r="L146" t="s">
        <v>28</v>
      </c>
      <c r="M146" t="s">
        <v>358</v>
      </c>
      <c r="N146" t="s">
        <v>364</v>
      </c>
      <c r="O146">
        <v>298.02</v>
      </c>
      <c r="Q146">
        <v>447.03</v>
      </c>
      <c r="R146"/>
      <c r="S146">
        <v>894.06</v>
      </c>
      <c r="T146">
        <v>149.01</v>
      </c>
      <c r="U146">
        <v>894.06</v>
      </c>
      <c r="V146" t="s">
        <v>732</v>
      </c>
      <c r="W146" t="s">
        <v>733</v>
      </c>
    </row>
    <row r="147" spans="1:23" hidden="1" x14ac:dyDescent="0.3">
      <c r="A147">
        <v>19</v>
      </c>
      <c r="B147" t="s">
        <v>734</v>
      </c>
      <c r="C147" t="s">
        <v>735</v>
      </c>
      <c r="D147">
        <v>2</v>
      </c>
      <c r="E147">
        <v>52</v>
      </c>
      <c r="F147">
        <v>520</v>
      </c>
      <c r="G147" t="s">
        <v>23</v>
      </c>
      <c r="H147" t="s">
        <v>674</v>
      </c>
      <c r="I147" t="s">
        <v>675</v>
      </c>
      <c r="J147" t="s">
        <v>26</v>
      </c>
      <c r="K147" t="s">
        <v>27</v>
      </c>
      <c r="L147" t="s">
        <v>28</v>
      </c>
      <c r="M147" t="s">
        <v>358</v>
      </c>
      <c r="N147" t="s">
        <v>736</v>
      </c>
      <c r="O147">
        <v>44.51</v>
      </c>
      <c r="Q147">
        <v>66.77</v>
      </c>
      <c r="R147"/>
      <c r="S147">
        <v>133.54</v>
      </c>
      <c r="T147">
        <v>22.26</v>
      </c>
      <c r="U147">
        <v>133.54</v>
      </c>
      <c r="V147" t="s">
        <v>737</v>
      </c>
      <c r="W147" t="s">
        <v>738</v>
      </c>
    </row>
    <row r="148" spans="1:23" hidden="1" x14ac:dyDescent="0.3">
      <c r="A148">
        <v>20</v>
      </c>
      <c r="B148" t="s">
        <v>739</v>
      </c>
      <c r="C148" t="s">
        <v>740</v>
      </c>
      <c r="D148">
        <v>2</v>
      </c>
      <c r="E148">
        <v>62.9</v>
      </c>
      <c r="F148">
        <v>629</v>
      </c>
      <c r="G148" t="s">
        <v>23</v>
      </c>
      <c r="H148" t="s">
        <v>674</v>
      </c>
      <c r="I148" t="s">
        <v>675</v>
      </c>
      <c r="J148" t="s">
        <v>26</v>
      </c>
      <c r="K148" t="s">
        <v>27</v>
      </c>
      <c r="L148" t="s">
        <v>28</v>
      </c>
      <c r="M148" t="s">
        <v>358</v>
      </c>
      <c r="N148" t="s">
        <v>369</v>
      </c>
      <c r="O148">
        <v>42.66</v>
      </c>
      <c r="Q148">
        <v>63.99</v>
      </c>
      <c r="R148"/>
      <c r="S148">
        <v>127.98</v>
      </c>
      <c r="T148">
        <v>21.33</v>
      </c>
      <c r="U148">
        <v>127.98</v>
      </c>
      <c r="V148" t="s">
        <v>741</v>
      </c>
      <c r="W148" t="s">
        <v>742</v>
      </c>
    </row>
    <row r="149" spans="1:23" hidden="1" x14ac:dyDescent="0.3">
      <c r="A149">
        <v>22</v>
      </c>
      <c r="B149" t="s">
        <v>743</v>
      </c>
      <c r="C149" t="s">
        <v>744</v>
      </c>
      <c r="D149">
        <v>3</v>
      </c>
      <c r="E149">
        <v>168</v>
      </c>
      <c r="F149">
        <v>1008</v>
      </c>
      <c r="G149" t="s">
        <v>23</v>
      </c>
      <c r="H149" t="s">
        <v>674</v>
      </c>
      <c r="I149" t="s">
        <v>675</v>
      </c>
      <c r="J149" t="s">
        <v>26</v>
      </c>
      <c r="K149" t="s">
        <v>27</v>
      </c>
      <c r="L149" t="s">
        <v>28</v>
      </c>
      <c r="M149" t="s">
        <v>40</v>
      </c>
      <c r="N149" t="s">
        <v>745</v>
      </c>
      <c r="O149">
        <v>50.22</v>
      </c>
      <c r="Q149">
        <v>75.33</v>
      </c>
      <c r="R149"/>
      <c r="S149">
        <v>225.99</v>
      </c>
      <c r="T149">
        <v>25.11</v>
      </c>
      <c r="U149">
        <v>225.99</v>
      </c>
      <c r="V149" t="s">
        <v>746</v>
      </c>
      <c r="W149" t="s">
        <v>747</v>
      </c>
    </row>
    <row r="150" spans="1:23" hidden="1" x14ac:dyDescent="0.3">
      <c r="A150">
        <v>23</v>
      </c>
      <c r="B150" t="s">
        <v>748</v>
      </c>
      <c r="C150" t="s">
        <v>749</v>
      </c>
      <c r="D150">
        <v>2</v>
      </c>
      <c r="E150">
        <v>234.5</v>
      </c>
      <c r="F150">
        <v>703.5</v>
      </c>
      <c r="G150" t="s">
        <v>23</v>
      </c>
      <c r="H150" t="s">
        <v>674</v>
      </c>
      <c r="I150" t="s">
        <v>675</v>
      </c>
      <c r="J150" t="s">
        <v>26</v>
      </c>
      <c r="K150" t="s">
        <v>27</v>
      </c>
      <c r="L150" t="s">
        <v>28</v>
      </c>
      <c r="M150" t="s">
        <v>440</v>
      </c>
      <c r="N150" t="s">
        <v>441</v>
      </c>
      <c r="O150">
        <v>81.16</v>
      </c>
      <c r="Q150">
        <v>121.74</v>
      </c>
      <c r="R150"/>
      <c r="S150">
        <v>243.48</v>
      </c>
      <c r="T150">
        <v>40.58</v>
      </c>
      <c r="U150">
        <v>243.48</v>
      </c>
      <c r="V150" t="s">
        <v>750</v>
      </c>
    </row>
    <row r="151" spans="1:23" hidden="1" x14ac:dyDescent="0.3">
      <c r="A151">
        <v>25</v>
      </c>
      <c r="B151" t="s">
        <v>59</v>
      </c>
      <c r="C151" t="s">
        <v>751</v>
      </c>
      <c r="D151">
        <v>2</v>
      </c>
      <c r="E151">
        <v>12829.4</v>
      </c>
      <c r="F151">
        <v>38488.199999999997</v>
      </c>
      <c r="G151" t="s">
        <v>23</v>
      </c>
      <c r="H151" t="s">
        <v>674</v>
      </c>
      <c r="I151" t="s">
        <v>675</v>
      </c>
      <c r="J151" t="s">
        <v>26</v>
      </c>
      <c r="K151" t="s">
        <v>27</v>
      </c>
      <c r="L151" t="s">
        <v>28</v>
      </c>
      <c r="M151" t="s">
        <v>182</v>
      </c>
      <c r="N151" t="s">
        <v>752</v>
      </c>
      <c r="O151">
        <v>3999</v>
      </c>
      <c r="Q151">
        <v>5998.5</v>
      </c>
      <c r="R151"/>
      <c r="S151">
        <v>11997</v>
      </c>
      <c r="T151">
        <v>1999.5</v>
      </c>
      <c r="U151">
        <v>11997</v>
      </c>
      <c r="V151" t="s">
        <v>753</v>
      </c>
      <c r="W151" t="s">
        <v>754</v>
      </c>
    </row>
    <row r="152" spans="1:23" hidden="1" x14ac:dyDescent="0.3">
      <c r="A152">
        <v>27</v>
      </c>
      <c r="B152" t="s">
        <v>667</v>
      </c>
      <c r="C152" t="s">
        <v>755</v>
      </c>
      <c r="D152">
        <v>2</v>
      </c>
      <c r="E152">
        <v>22622</v>
      </c>
      <c r="F152">
        <v>67866</v>
      </c>
      <c r="G152" t="s">
        <v>23</v>
      </c>
      <c r="H152" t="s">
        <v>674</v>
      </c>
      <c r="I152" t="s">
        <v>675</v>
      </c>
      <c r="J152" t="s">
        <v>26</v>
      </c>
      <c r="K152" t="s">
        <v>27</v>
      </c>
      <c r="L152" t="s">
        <v>28</v>
      </c>
      <c r="M152" t="s">
        <v>182</v>
      </c>
      <c r="N152" t="s">
        <v>194</v>
      </c>
      <c r="O152">
        <v>7490</v>
      </c>
      <c r="Q152">
        <v>11235</v>
      </c>
      <c r="R152"/>
      <c r="S152">
        <v>22470</v>
      </c>
      <c r="T152">
        <v>3745</v>
      </c>
      <c r="U152">
        <v>22470</v>
      </c>
      <c r="V152" t="s">
        <v>756</v>
      </c>
      <c r="W152" t="s">
        <v>757</v>
      </c>
    </row>
    <row r="153" spans="1:23" hidden="1" x14ac:dyDescent="0.3">
      <c r="A153">
        <v>28</v>
      </c>
      <c r="B153" t="s">
        <v>168</v>
      </c>
      <c r="C153" t="s">
        <v>758</v>
      </c>
      <c r="D153">
        <v>3</v>
      </c>
      <c r="E153">
        <v>19800</v>
      </c>
      <c r="F153">
        <v>59400</v>
      </c>
      <c r="G153" t="s">
        <v>23</v>
      </c>
      <c r="H153" t="s">
        <v>674</v>
      </c>
      <c r="I153" t="s">
        <v>675</v>
      </c>
      <c r="J153" t="s">
        <v>26</v>
      </c>
      <c r="K153" t="s">
        <v>27</v>
      </c>
      <c r="L153" t="s">
        <v>28</v>
      </c>
      <c r="M153" t="s">
        <v>182</v>
      </c>
      <c r="N153" t="s">
        <v>759</v>
      </c>
      <c r="O153">
        <v>2790</v>
      </c>
      <c r="Q153">
        <v>4185</v>
      </c>
      <c r="R153"/>
      <c r="S153">
        <v>12555</v>
      </c>
      <c r="T153">
        <v>1395</v>
      </c>
      <c r="U153">
        <v>12555</v>
      </c>
      <c r="V153" t="s">
        <v>760</v>
      </c>
      <c r="W153" t="s">
        <v>761</v>
      </c>
    </row>
    <row r="154" spans="1:23" hidden="1" x14ac:dyDescent="0.3">
      <c r="A154">
        <v>30</v>
      </c>
      <c r="B154" t="s">
        <v>762</v>
      </c>
      <c r="C154" t="s">
        <v>762</v>
      </c>
      <c r="D154">
        <v>3</v>
      </c>
      <c r="E154">
        <v>360</v>
      </c>
      <c r="F154">
        <v>1080</v>
      </c>
      <c r="G154" t="s">
        <v>23</v>
      </c>
      <c r="H154" t="s">
        <v>674</v>
      </c>
      <c r="I154" t="s">
        <v>675</v>
      </c>
      <c r="J154" t="s">
        <v>26</v>
      </c>
      <c r="K154" t="s">
        <v>763</v>
      </c>
      <c r="L154" t="s">
        <v>28</v>
      </c>
      <c r="M154" t="s">
        <v>61</v>
      </c>
      <c r="N154" t="s">
        <v>764</v>
      </c>
      <c r="O154">
        <v>532.25</v>
      </c>
      <c r="Q154">
        <v>798.38</v>
      </c>
      <c r="R154"/>
      <c r="S154">
        <v>2395.14</v>
      </c>
      <c r="T154">
        <v>266.13</v>
      </c>
      <c r="U154">
        <v>2395.14</v>
      </c>
      <c r="V154" t="s">
        <v>765</v>
      </c>
      <c r="W154" t="s">
        <v>766</v>
      </c>
    </row>
    <row r="155" spans="1:23" hidden="1" x14ac:dyDescent="0.3">
      <c r="A155">
        <v>34</v>
      </c>
      <c r="B155" t="s">
        <v>767</v>
      </c>
      <c r="C155" t="s">
        <v>767</v>
      </c>
      <c r="D155">
        <v>3</v>
      </c>
      <c r="E155">
        <v>58</v>
      </c>
      <c r="F155">
        <v>174</v>
      </c>
      <c r="G155" t="s">
        <v>23</v>
      </c>
      <c r="H155" t="s">
        <v>674</v>
      </c>
      <c r="I155" t="s">
        <v>675</v>
      </c>
      <c r="J155" t="s">
        <v>26</v>
      </c>
      <c r="K155" t="s">
        <v>768</v>
      </c>
      <c r="L155" t="s">
        <v>28</v>
      </c>
      <c r="M155" t="s">
        <v>307</v>
      </c>
      <c r="N155" t="s">
        <v>325</v>
      </c>
      <c r="O155">
        <v>90.3</v>
      </c>
      <c r="Q155">
        <v>135.44999999999999</v>
      </c>
      <c r="R155"/>
      <c r="S155">
        <v>406.35</v>
      </c>
      <c r="T155">
        <v>45.15</v>
      </c>
      <c r="U155">
        <v>406.35</v>
      </c>
      <c r="V155" t="s">
        <v>769</v>
      </c>
      <c r="W155" t="s">
        <v>770</v>
      </c>
    </row>
    <row r="156" spans="1:23" hidden="1" x14ac:dyDescent="0.3">
      <c r="A156">
        <v>36</v>
      </c>
      <c r="B156" t="s">
        <v>771</v>
      </c>
      <c r="C156" t="s">
        <v>771</v>
      </c>
      <c r="D156">
        <v>3</v>
      </c>
      <c r="E156">
        <v>210</v>
      </c>
      <c r="F156">
        <v>630</v>
      </c>
      <c r="G156" t="s">
        <v>23</v>
      </c>
      <c r="H156" t="s">
        <v>674</v>
      </c>
      <c r="I156" t="s">
        <v>675</v>
      </c>
      <c r="J156" t="s">
        <v>26</v>
      </c>
      <c r="K156" t="s">
        <v>772</v>
      </c>
      <c r="L156" t="s">
        <v>28</v>
      </c>
      <c r="M156" t="s">
        <v>40</v>
      </c>
      <c r="N156" t="s">
        <v>336</v>
      </c>
      <c r="O156">
        <v>61.99</v>
      </c>
      <c r="Q156">
        <v>92.98</v>
      </c>
      <c r="R156"/>
      <c r="S156">
        <v>278.94</v>
      </c>
      <c r="T156">
        <v>30.99</v>
      </c>
      <c r="U156">
        <v>278.94</v>
      </c>
      <c r="V156" t="s">
        <v>773</v>
      </c>
      <c r="W156" t="s">
        <v>774</v>
      </c>
    </row>
    <row r="157" spans="1:23" hidden="1" x14ac:dyDescent="0.3">
      <c r="A157">
        <v>37</v>
      </c>
      <c r="B157" t="s">
        <v>775</v>
      </c>
      <c r="C157" t="s">
        <v>775</v>
      </c>
      <c r="D157">
        <v>3</v>
      </c>
      <c r="E157">
        <v>640</v>
      </c>
      <c r="F157">
        <v>1920</v>
      </c>
      <c r="G157" t="s">
        <v>23</v>
      </c>
      <c r="H157" t="s">
        <v>674</v>
      </c>
      <c r="I157" t="s">
        <v>675</v>
      </c>
      <c r="J157" t="s">
        <v>26</v>
      </c>
      <c r="K157" t="s">
        <v>27</v>
      </c>
      <c r="L157" t="s">
        <v>28</v>
      </c>
      <c r="M157" t="s">
        <v>307</v>
      </c>
      <c r="N157" t="s">
        <v>776</v>
      </c>
      <c r="O157">
        <v>318.2</v>
      </c>
      <c r="Q157">
        <v>477.3</v>
      </c>
      <c r="R157"/>
      <c r="S157">
        <v>1431.9</v>
      </c>
      <c r="T157">
        <v>159.1</v>
      </c>
      <c r="U157">
        <v>1431.9</v>
      </c>
      <c r="V157" t="s">
        <v>777</v>
      </c>
      <c r="W157" t="s">
        <v>778</v>
      </c>
    </row>
    <row r="158" spans="1:23" hidden="1" x14ac:dyDescent="0.3">
      <c r="A158">
        <v>39</v>
      </c>
      <c r="B158" t="s">
        <v>779</v>
      </c>
      <c r="C158" t="s">
        <v>779</v>
      </c>
      <c r="D158">
        <v>3</v>
      </c>
      <c r="E158">
        <v>49000</v>
      </c>
      <c r="F158">
        <v>98000</v>
      </c>
      <c r="G158" t="s">
        <v>23</v>
      </c>
      <c r="H158" t="s">
        <v>674</v>
      </c>
      <c r="I158" t="s">
        <v>675</v>
      </c>
      <c r="J158" t="s">
        <v>26</v>
      </c>
      <c r="K158" t="s">
        <v>27</v>
      </c>
      <c r="L158" t="s">
        <v>28</v>
      </c>
      <c r="M158" t="s">
        <v>213</v>
      </c>
      <c r="N158" t="s">
        <v>214</v>
      </c>
      <c r="O158">
        <v>19906</v>
      </c>
      <c r="Q158">
        <v>29859</v>
      </c>
      <c r="R158"/>
      <c r="S158">
        <v>89577</v>
      </c>
      <c r="T158">
        <v>9953</v>
      </c>
      <c r="U158">
        <v>89577</v>
      </c>
      <c r="V158" t="s">
        <v>780</v>
      </c>
      <c r="W158" t="s">
        <v>781</v>
      </c>
    </row>
    <row r="159" spans="1:23" hidden="1" x14ac:dyDescent="0.3">
      <c r="A159">
        <v>40</v>
      </c>
      <c r="B159" t="s">
        <v>782</v>
      </c>
      <c r="C159" t="s">
        <v>782</v>
      </c>
      <c r="D159">
        <v>3</v>
      </c>
      <c r="E159">
        <v>39095.1</v>
      </c>
      <c r="F159">
        <v>117285.3</v>
      </c>
      <c r="G159" t="s">
        <v>23</v>
      </c>
      <c r="H159" t="s">
        <v>674</v>
      </c>
      <c r="I159" t="s">
        <v>675</v>
      </c>
      <c r="J159" t="s">
        <v>26</v>
      </c>
      <c r="K159" t="s">
        <v>783</v>
      </c>
      <c r="L159" t="s">
        <v>28</v>
      </c>
      <c r="M159" t="s">
        <v>182</v>
      </c>
      <c r="N159" t="s">
        <v>784</v>
      </c>
      <c r="O159">
        <v>20990</v>
      </c>
      <c r="Q159">
        <v>31485</v>
      </c>
      <c r="R159"/>
      <c r="S159">
        <v>94455</v>
      </c>
      <c r="T159">
        <v>10495</v>
      </c>
      <c r="U159">
        <v>94455</v>
      </c>
      <c r="V159" t="s">
        <v>785</v>
      </c>
      <c r="W159" t="s">
        <v>786</v>
      </c>
    </row>
    <row r="160" spans="1:23" hidden="1" x14ac:dyDescent="0.3">
      <c r="A160">
        <v>33</v>
      </c>
      <c r="B160" t="s">
        <v>787</v>
      </c>
      <c r="D160">
        <v>5</v>
      </c>
      <c r="E160">
        <v>101.8</v>
      </c>
      <c r="F160">
        <v>509</v>
      </c>
      <c r="G160" t="s">
        <v>23</v>
      </c>
      <c r="H160" t="s">
        <v>788</v>
      </c>
      <c r="I160" t="s">
        <v>789</v>
      </c>
      <c r="J160" t="s">
        <v>26</v>
      </c>
      <c r="K160" t="s">
        <v>27</v>
      </c>
      <c r="L160" t="s">
        <v>159</v>
      </c>
      <c r="M160" t="s">
        <v>27</v>
      </c>
      <c r="N160" t="s">
        <v>27</v>
      </c>
      <c r="O160">
        <v>0</v>
      </c>
      <c r="Q160">
        <v>0</v>
      </c>
      <c r="R160"/>
      <c r="S160">
        <v>0</v>
      </c>
      <c r="T160">
        <v>0</v>
      </c>
      <c r="U160">
        <v>0</v>
      </c>
      <c r="V160" t="s">
        <v>790</v>
      </c>
      <c r="W160" t="s">
        <v>791</v>
      </c>
    </row>
    <row r="161" spans="1:23" hidden="1" x14ac:dyDescent="0.3">
      <c r="A161">
        <v>1</v>
      </c>
      <c r="B161" t="s">
        <v>792</v>
      </c>
      <c r="C161" t="s">
        <v>793</v>
      </c>
      <c r="D161">
        <v>8</v>
      </c>
      <c r="E161">
        <v>235</v>
      </c>
      <c r="F161">
        <v>1880</v>
      </c>
      <c r="G161" t="s">
        <v>23</v>
      </c>
      <c r="H161" t="s">
        <v>794</v>
      </c>
      <c r="I161" t="s">
        <v>795</v>
      </c>
      <c r="J161" t="s">
        <v>26</v>
      </c>
      <c r="K161" t="s">
        <v>796</v>
      </c>
      <c r="L161" t="s">
        <v>159</v>
      </c>
      <c r="M161" t="s">
        <v>27</v>
      </c>
      <c r="N161" t="s">
        <v>27</v>
      </c>
      <c r="O161">
        <v>0</v>
      </c>
      <c r="Q161">
        <v>0</v>
      </c>
      <c r="R161"/>
      <c r="S161">
        <v>0</v>
      </c>
      <c r="T161">
        <v>0</v>
      </c>
      <c r="U161">
        <v>0</v>
      </c>
      <c r="V161" t="s">
        <v>797</v>
      </c>
      <c r="W161" t="s">
        <v>798</v>
      </c>
    </row>
    <row r="162" spans="1:23" hidden="1" x14ac:dyDescent="0.3">
      <c r="A162">
        <v>2</v>
      </c>
      <c r="B162" t="s">
        <v>792</v>
      </c>
      <c r="C162" t="s">
        <v>799</v>
      </c>
      <c r="D162">
        <v>4</v>
      </c>
      <c r="E162">
        <v>149</v>
      </c>
      <c r="F162">
        <v>596</v>
      </c>
      <c r="G162" t="s">
        <v>23</v>
      </c>
      <c r="H162" t="s">
        <v>794</v>
      </c>
      <c r="I162" t="s">
        <v>795</v>
      </c>
      <c r="J162" t="s">
        <v>26</v>
      </c>
      <c r="K162" t="s">
        <v>800</v>
      </c>
      <c r="L162" t="s">
        <v>159</v>
      </c>
      <c r="M162" t="s">
        <v>27</v>
      </c>
      <c r="N162" t="s">
        <v>27</v>
      </c>
      <c r="O162">
        <v>0</v>
      </c>
      <c r="Q162">
        <v>0</v>
      </c>
      <c r="R162"/>
      <c r="S162">
        <v>0</v>
      </c>
      <c r="T162">
        <v>0</v>
      </c>
      <c r="U162">
        <v>0</v>
      </c>
      <c r="V162" t="s">
        <v>801</v>
      </c>
      <c r="W162" t="s">
        <v>802</v>
      </c>
    </row>
    <row r="163" spans="1:23" hidden="1" x14ac:dyDescent="0.3">
      <c r="A163">
        <v>3</v>
      </c>
      <c r="B163" t="s">
        <v>792</v>
      </c>
      <c r="C163" t="s">
        <v>803</v>
      </c>
      <c r="D163">
        <v>4</v>
      </c>
      <c r="E163">
        <v>28</v>
      </c>
      <c r="F163">
        <v>112</v>
      </c>
      <c r="G163" t="s">
        <v>23</v>
      </c>
      <c r="H163" t="s">
        <v>794</v>
      </c>
      <c r="I163" t="s">
        <v>795</v>
      </c>
      <c r="J163" t="s">
        <v>26</v>
      </c>
      <c r="K163" t="s">
        <v>804</v>
      </c>
      <c r="L163" t="s">
        <v>28</v>
      </c>
      <c r="M163" t="s">
        <v>56</v>
      </c>
      <c r="N163" t="s">
        <v>804</v>
      </c>
      <c r="O163">
        <v>118.5</v>
      </c>
      <c r="Q163">
        <v>177.75</v>
      </c>
      <c r="R163"/>
      <c r="S163">
        <v>711</v>
      </c>
      <c r="T163">
        <v>59.25</v>
      </c>
      <c r="U163">
        <v>711</v>
      </c>
      <c r="V163" t="s">
        <v>805</v>
      </c>
      <c r="W163" t="s">
        <v>806</v>
      </c>
    </row>
    <row r="164" spans="1:23" hidden="1" x14ac:dyDescent="0.3">
      <c r="A164">
        <v>4</v>
      </c>
      <c r="B164" t="s">
        <v>792</v>
      </c>
      <c r="C164" t="s">
        <v>807</v>
      </c>
      <c r="D164">
        <v>4</v>
      </c>
      <c r="E164">
        <v>28</v>
      </c>
      <c r="F164">
        <v>112</v>
      </c>
      <c r="G164" t="s">
        <v>23</v>
      </c>
      <c r="H164" t="s">
        <v>794</v>
      </c>
      <c r="I164" t="s">
        <v>795</v>
      </c>
      <c r="J164" t="s">
        <v>26</v>
      </c>
      <c r="K164" t="s">
        <v>808</v>
      </c>
      <c r="L164" t="s">
        <v>28</v>
      </c>
      <c r="M164" t="s">
        <v>56</v>
      </c>
      <c r="N164" t="s">
        <v>808</v>
      </c>
      <c r="O164">
        <v>146.06</v>
      </c>
      <c r="Q164">
        <v>219.09</v>
      </c>
      <c r="R164"/>
      <c r="S164">
        <v>876.36</v>
      </c>
      <c r="T164">
        <v>73.03</v>
      </c>
      <c r="U164">
        <v>876.36</v>
      </c>
      <c r="V164" t="s">
        <v>809</v>
      </c>
      <c r="W164" t="s">
        <v>810</v>
      </c>
    </row>
    <row r="165" spans="1:23" hidden="1" x14ac:dyDescent="0.3">
      <c r="A165">
        <v>5</v>
      </c>
      <c r="B165" t="s">
        <v>792</v>
      </c>
      <c r="C165" t="s">
        <v>811</v>
      </c>
      <c r="D165">
        <v>8</v>
      </c>
      <c r="E165">
        <v>28</v>
      </c>
      <c r="F165">
        <v>224</v>
      </c>
      <c r="G165" t="s">
        <v>23</v>
      </c>
      <c r="H165" t="s">
        <v>794</v>
      </c>
      <c r="I165" t="s">
        <v>795</v>
      </c>
      <c r="J165" t="s">
        <v>26</v>
      </c>
      <c r="K165" t="s">
        <v>812</v>
      </c>
      <c r="L165" t="s">
        <v>28</v>
      </c>
      <c r="M165" t="s">
        <v>56</v>
      </c>
      <c r="N165" t="s">
        <v>812</v>
      </c>
      <c r="O165">
        <v>159.51</v>
      </c>
      <c r="Q165">
        <v>239.26</v>
      </c>
      <c r="R165"/>
      <c r="S165">
        <v>1914.08</v>
      </c>
      <c r="T165">
        <v>79.75</v>
      </c>
      <c r="U165">
        <v>1914.08</v>
      </c>
      <c r="V165" t="s">
        <v>813</v>
      </c>
      <c r="W165" t="s">
        <v>814</v>
      </c>
    </row>
    <row r="166" spans="1:23" hidden="1" x14ac:dyDescent="0.3">
      <c r="A166">
        <v>6</v>
      </c>
      <c r="B166" t="s">
        <v>792</v>
      </c>
      <c r="C166" t="s">
        <v>815</v>
      </c>
      <c r="D166">
        <v>4</v>
      </c>
      <c r="E166">
        <v>28</v>
      </c>
      <c r="F166">
        <v>112</v>
      </c>
      <c r="G166" t="s">
        <v>23</v>
      </c>
      <c r="H166" t="s">
        <v>794</v>
      </c>
      <c r="I166" t="s">
        <v>795</v>
      </c>
      <c r="J166" t="s">
        <v>26</v>
      </c>
      <c r="K166" t="s">
        <v>816</v>
      </c>
      <c r="L166" t="s">
        <v>28</v>
      </c>
      <c r="M166" t="s">
        <v>56</v>
      </c>
      <c r="N166" t="s">
        <v>816</v>
      </c>
      <c r="O166">
        <v>220.01</v>
      </c>
      <c r="Q166">
        <v>330.01</v>
      </c>
      <c r="R166"/>
      <c r="S166">
        <v>1320.04</v>
      </c>
      <c r="T166">
        <v>110</v>
      </c>
      <c r="U166">
        <v>1320.04</v>
      </c>
      <c r="V166" t="s">
        <v>817</v>
      </c>
      <c r="W166" t="s">
        <v>818</v>
      </c>
    </row>
    <row r="167" spans="1:23" hidden="1" x14ac:dyDescent="0.3">
      <c r="A167">
        <v>7</v>
      </c>
      <c r="B167" t="s">
        <v>792</v>
      </c>
      <c r="C167" t="s">
        <v>819</v>
      </c>
      <c r="D167">
        <v>4</v>
      </c>
      <c r="E167">
        <v>28</v>
      </c>
      <c r="F167">
        <v>112</v>
      </c>
      <c r="G167" t="s">
        <v>23</v>
      </c>
      <c r="H167" t="s">
        <v>794</v>
      </c>
      <c r="I167" t="s">
        <v>795</v>
      </c>
      <c r="J167" t="s">
        <v>26</v>
      </c>
      <c r="K167" t="s">
        <v>820</v>
      </c>
      <c r="L167" t="s">
        <v>28</v>
      </c>
      <c r="M167" t="s">
        <v>56</v>
      </c>
      <c r="N167" t="s">
        <v>820</v>
      </c>
      <c r="O167">
        <v>253.63</v>
      </c>
      <c r="Q167">
        <v>380.44</v>
      </c>
      <c r="R167"/>
      <c r="S167">
        <v>1521.76</v>
      </c>
      <c r="T167">
        <v>126.81</v>
      </c>
      <c r="U167">
        <v>1521.76</v>
      </c>
      <c r="V167" t="s">
        <v>821</v>
      </c>
      <c r="W167" t="s">
        <v>822</v>
      </c>
    </row>
    <row r="168" spans="1:23" hidden="1" x14ac:dyDescent="0.3">
      <c r="A168">
        <v>8</v>
      </c>
      <c r="B168" t="s">
        <v>792</v>
      </c>
      <c r="C168" t="s">
        <v>823</v>
      </c>
      <c r="D168">
        <v>8</v>
      </c>
      <c r="E168">
        <v>16</v>
      </c>
      <c r="F168">
        <v>128</v>
      </c>
      <c r="G168" t="s">
        <v>23</v>
      </c>
      <c r="H168" t="s">
        <v>794</v>
      </c>
      <c r="I168" t="s">
        <v>795</v>
      </c>
      <c r="J168" t="s">
        <v>26</v>
      </c>
      <c r="K168" t="s">
        <v>824</v>
      </c>
      <c r="L168" t="s">
        <v>28</v>
      </c>
      <c r="M168" t="s">
        <v>56</v>
      </c>
      <c r="N168" t="s">
        <v>824</v>
      </c>
      <c r="O168">
        <v>64.39</v>
      </c>
      <c r="Q168">
        <v>96.59</v>
      </c>
      <c r="R168"/>
      <c r="S168">
        <v>772.72</v>
      </c>
      <c r="T168">
        <v>32.200000000000003</v>
      </c>
      <c r="U168">
        <v>772.72</v>
      </c>
      <c r="V168" t="s">
        <v>825</v>
      </c>
      <c r="W168" t="s">
        <v>826</v>
      </c>
    </row>
    <row r="169" spans="1:23" hidden="1" x14ac:dyDescent="0.3">
      <c r="A169">
        <v>9</v>
      </c>
      <c r="B169" t="s">
        <v>792</v>
      </c>
      <c r="C169" t="s">
        <v>827</v>
      </c>
      <c r="D169">
        <v>8</v>
      </c>
      <c r="E169">
        <v>16</v>
      </c>
      <c r="F169">
        <v>128</v>
      </c>
      <c r="G169" t="s">
        <v>23</v>
      </c>
      <c r="H169" t="s">
        <v>794</v>
      </c>
      <c r="I169" t="s">
        <v>795</v>
      </c>
      <c r="J169" t="s">
        <v>26</v>
      </c>
      <c r="K169" t="s">
        <v>828</v>
      </c>
      <c r="L169" t="s">
        <v>28</v>
      </c>
      <c r="M169" t="s">
        <v>56</v>
      </c>
      <c r="N169" t="s">
        <v>828</v>
      </c>
      <c r="O169">
        <v>67.42</v>
      </c>
      <c r="Q169">
        <v>101.13</v>
      </c>
      <c r="R169"/>
      <c r="S169">
        <v>809.04</v>
      </c>
      <c r="T169">
        <v>33.71</v>
      </c>
      <c r="U169">
        <v>809.04</v>
      </c>
      <c r="V169" t="s">
        <v>829</v>
      </c>
      <c r="W169" t="s">
        <v>830</v>
      </c>
    </row>
    <row r="170" spans="1:23" hidden="1" x14ac:dyDescent="0.3">
      <c r="A170">
        <v>10</v>
      </c>
      <c r="B170" t="s">
        <v>792</v>
      </c>
      <c r="C170" t="s">
        <v>831</v>
      </c>
      <c r="D170">
        <v>16</v>
      </c>
      <c r="E170">
        <v>16</v>
      </c>
      <c r="F170">
        <v>256</v>
      </c>
      <c r="G170" t="s">
        <v>23</v>
      </c>
      <c r="H170" t="s">
        <v>794</v>
      </c>
      <c r="I170" t="s">
        <v>795</v>
      </c>
      <c r="J170" t="s">
        <v>26</v>
      </c>
      <c r="K170" t="s">
        <v>832</v>
      </c>
      <c r="L170" t="s">
        <v>28</v>
      </c>
      <c r="M170" t="s">
        <v>56</v>
      </c>
      <c r="N170" t="s">
        <v>833</v>
      </c>
      <c r="O170">
        <v>49.12</v>
      </c>
      <c r="Q170">
        <v>73.680000000000007</v>
      </c>
      <c r="R170"/>
      <c r="S170">
        <v>1178.8800000000001</v>
      </c>
      <c r="T170">
        <v>24.56</v>
      </c>
      <c r="U170">
        <v>1178.8800000000001</v>
      </c>
      <c r="V170" t="s">
        <v>834</v>
      </c>
      <c r="W170" t="s">
        <v>835</v>
      </c>
    </row>
    <row r="171" spans="1:23" hidden="1" x14ac:dyDescent="0.3">
      <c r="A171">
        <v>11</v>
      </c>
      <c r="B171" t="s">
        <v>792</v>
      </c>
      <c r="C171" t="s">
        <v>836</v>
      </c>
      <c r="D171">
        <v>16</v>
      </c>
      <c r="E171">
        <v>16</v>
      </c>
      <c r="F171">
        <v>256</v>
      </c>
      <c r="G171" t="s">
        <v>23</v>
      </c>
      <c r="H171" t="s">
        <v>794</v>
      </c>
      <c r="I171" t="s">
        <v>795</v>
      </c>
      <c r="J171" t="s">
        <v>26</v>
      </c>
      <c r="K171" t="s">
        <v>837</v>
      </c>
      <c r="L171" t="s">
        <v>28</v>
      </c>
      <c r="M171" t="s">
        <v>56</v>
      </c>
      <c r="N171" t="s">
        <v>838</v>
      </c>
      <c r="O171">
        <v>67.42</v>
      </c>
      <c r="Q171">
        <v>101.13</v>
      </c>
      <c r="R171"/>
      <c r="S171">
        <v>1618.08</v>
      </c>
      <c r="T171">
        <v>33.71</v>
      </c>
      <c r="U171">
        <v>1618.08</v>
      </c>
      <c r="V171" t="s">
        <v>839</v>
      </c>
      <c r="W171" t="s">
        <v>840</v>
      </c>
    </row>
    <row r="172" spans="1:23" hidden="1" x14ac:dyDescent="0.3">
      <c r="A172">
        <v>12</v>
      </c>
      <c r="B172" t="s">
        <v>792</v>
      </c>
      <c r="C172" t="s">
        <v>841</v>
      </c>
      <c r="D172">
        <v>8</v>
      </c>
      <c r="E172">
        <v>110</v>
      </c>
      <c r="F172">
        <v>880</v>
      </c>
      <c r="G172" t="s">
        <v>23</v>
      </c>
      <c r="H172" t="s">
        <v>794</v>
      </c>
      <c r="I172" t="s">
        <v>795</v>
      </c>
      <c r="J172" t="s">
        <v>26</v>
      </c>
      <c r="K172" t="s">
        <v>27</v>
      </c>
      <c r="L172" t="s">
        <v>28</v>
      </c>
      <c r="M172" t="s">
        <v>278</v>
      </c>
      <c r="N172" t="s">
        <v>702</v>
      </c>
      <c r="O172">
        <v>59.9</v>
      </c>
      <c r="Q172">
        <v>89.85</v>
      </c>
      <c r="R172"/>
      <c r="S172">
        <v>718.8</v>
      </c>
      <c r="T172">
        <v>29.95</v>
      </c>
      <c r="U172">
        <v>718.8</v>
      </c>
      <c r="V172" t="s">
        <v>842</v>
      </c>
      <c r="W172" t="s">
        <v>843</v>
      </c>
    </row>
    <row r="173" spans="1:23" hidden="1" x14ac:dyDescent="0.3">
      <c r="A173">
        <v>13</v>
      </c>
      <c r="B173" t="s">
        <v>792</v>
      </c>
      <c r="C173" t="s">
        <v>844</v>
      </c>
      <c r="D173">
        <v>8</v>
      </c>
      <c r="E173">
        <v>99</v>
      </c>
      <c r="F173">
        <v>792</v>
      </c>
      <c r="G173" t="s">
        <v>23</v>
      </c>
      <c r="H173" t="s">
        <v>794</v>
      </c>
      <c r="I173" t="s">
        <v>795</v>
      </c>
      <c r="J173" t="s">
        <v>26</v>
      </c>
      <c r="K173" t="s">
        <v>845</v>
      </c>
      <c r="L173" t="s">
        <v>159</v>
      </c>
      <c r="M173" t="s">
        <v>27</v>
      </c>
      <c r="N173" t="s">
        <v>27</v>
      </c>
      <c r="O173">
        <v>0</v>
      </c>
      <c r="Q173">
        <v>0</v>
      </c>
      <c r="R173"/>
      <c r="S173">
        <v>0</v>
      </c>
      <c r="T173">
        <v>0</v>
      </c>
      <c r="U173">
        <v>0</v>
      </c>
      <c r="V173" t="s">
        <v>846</v>
      </c>
      <c r="W173" t="s">
        <v>847</v>
      </c>
    </row>
    <row r="174" spans="1:23" hidden="1" x14ac:dyDescent="0.3">
      <c r="A174">
        <v>14</v>
      </c>
      <c r="B174" t="s">
        <v>792</v>
      </c>
      <c r="C174" t="s">
        <v>848</v>
      </c>
      <c r="D174">
        <v>8</v>
      </c>
      <c r="E174">
        <v>122</v>
      </c>
      <c r="F174">
        <v>976</v>
      </c>
      <c r="G174" t="s">
        <v>23</v>
      </c>
      <c r="H174" t="s">
        <v>794</v>
      </c>
      <c r="I174" t="s">
        <v>795</v>
      </c>
      <c r="J174" t="s">
        <v>26</v>
      </c>
      <c r="K174" t="s">
        <v>849</v>
      </c>
      <c r="L174" t="s">
        <v>28</v>
      </c>
      <c r="M174" t="s">
        <v>278</v>
      </c>
      <c r="N174" t="s">
        <v>409</v>
      </c>
      <c r="O174">
        <v>59.9</v>
      </c>
      <c r="Q174">
        <v>89.85</v>
      </c>
      <c r="R174"/>
      <c r="S174">
        <v>718.8</v>
      </c>
      <c r="T174">
        <v>29.95</v>
      </c>
      <c r="U174">
        <v>718.8</v>
      </c>
      <c r="V174" t="s">
        <v>850</v>
      </c>
      <c r="W174" t="s">
        <v>851</v>
      </c>
    </row>
    <row r="175" spans="1:23" hidden="1" x14ac:dyDescent="0.3">
      <c r="A175">
        <v>15</v>
      </c>
      <c r="B175" t="s">
        <v>792</v>
      </c>
      <c r="C175" t="s">
        <v>852</v>
      </c>
      <c r="D175">
        <v>2</v>
      </c>
      <c r="E175">
        <v>160</v>
      </c>
      <c r="F175">
        <v>320</v>
      </c>
      <c r="G175" t="s">
        <v>23</v>
      </c>
      <c r="H175" t="s">
        <v>794</v>
      </c>
      <c r="I175" t="s">
        <v>795</v>
      </c>
      <c r="J175" t="s">
        <v>26</v>
      </c>
      <c r="K175" t="s">
        <v>27</v>
      </c>
      <c r="L175" t="s">
        <v>159</v>
      </c>
      <c r="M175" t="s">
        <v>27</v>
      </c>
      <c r="N175" t="s">
        <v>27</v>
      </c>
      <c r="O175">
        <v>0</v>
      </c>
      <c r="Q175">
        <v>0</v>
      </c>
      <c r="R175"/>
      <c r="S175">
        <v>0</v>
      </c>
      <c r="T175">
        <v>0</v>
      </c>
      <c r="U175">
        <v>0</v>
      </c>
      <c r="V175" t="s">
        <v>853</v>
      </c>
      <c r="W175" t="s">
        <v>854</v>
      </c>
    </row>
    <row r="176" spans="1:23" hidden="1" x14ac:dyDescent="0.3">
      <c r="A176">
        <v>16</v>
      </c>
      <c r="B176" t="s">
        <v>792</v>
      </c>
      <c r="C176" t="s">
        <v>855</v>
      </c>
      <c r="D176">
        <v>2</v>
      </c>
      <c r="E176">
        <v>676</v>
      </c>
      <c r="F176">
        <v>1352</v>
      </c>
      <c r="G176" t="s">
        <v>23</v>
      </c>
      <c r="H176" t="s">
        <v>794</v>
      </c>
      <c r="I176" t="s">
        <v>795</v>
      </c>
      <c r="J176" t="s">
        <v>26</v>
      </c>
      <c r="K176" t="s">
        <v>27</v>
      </c>
      <c r="L176" t="s">
        <v>159</v>
      </c>
      <c r="M176" t="s">
        <v>27</v>
      </c>
      <c r="N176" t="s">
        <v>27</v>
      </c>
      <c r="O176">
        <v>0</v>
      </c>
      <c r="Q176">
        <v>0</v>
      </c>
      <c r="R176"/>
      <c r="S176">
        <v>0</v>
      </c>
      <c r="T176">
        <v>0</v>
      </c>
      <c r="U176">
        <v>0</v>
      </c>
      <c r="V176" t="s">
        <v>856</v>
      </c>
      <c r="W176" t="s">
        <v>857</v>
      </c>
    </row>
    <row r="177" spans="1:23" hidden="1" x14ac:dyDescent="0.3">
      <c r="A177">
        <v>17</v>
      </c>
      <c r="B177" t="s">
        <v>792</v>
      </c>
      <c r="C177" t="s">
        <v>858</v>
      </c>
      <c r="D177">
        <v>2</v>
      </c>
      <c r="E177">
        <v>66.7</v>
      </c>
      <c r="F177">
        <v>133.4</v>
      </c>
      <c r="G177" t="s">
        <v>23</v>
      </c>
      <c r="H177" t="s">
        <v>794</v>
      </c>
      <c r="I177" t="s">
        <v>795</v>
      </c>
      <c r="J177" t="s">
        <v>26</v>
      </c>
      <c r="K177" t="s">
        <v>859</v>
      </c>
      <c r="L177" t="s">
        <v>28</v>
      </c>
      <c r="M177" t="s">
        <v>358</v>
      </c>
      <c r="N177" t="s">
        <v>728</v>
      </c>
      <c r="O177">
        <v>298.02</v>
      </c>
      <c r="Q177">
        <v>447.03</v>
      </c>
      <c r="R177"/>
      <c r="S177">
        <v>894.06</v>
      </c>
      <c r="T177">
        <v>149.01</v>
      </c>
      <c r="U177">
        <v>894.06</v>
      </c>
      <c r="V177" t="s">
        <v>860</v>
      </c>
      <c r="W177" t="s">
        <v>861</v>
      </c>
    </row>
    <row r="178" spans="1:23" hidden="1" x14ac:dyDescent="0.3">
      <c r="A178">
        <v>18</v>
      </c>
      <c r="B178" t="s">
        <v>792</v>
      </c>
      <c r="C178" t="s">
        <v>862</v>
      </c>
      <c r="D178">
        <v>2</v>
      </c>
      <c r="E178">
        <v>66.7</v>
      </c>
      <c r="F178">
        <v>133.4</v>
      </c>
      <c r="G178" t="s">
        <v>23</v>
      </c>
      <c r="H178" t="s">
        <v>794</v>
      </c>
      <c r="I178" t="s">
        <v>795</v>
      </c>
      <c r="J178" t="s">
        <v>26</v>
      </c>
      <c r="K178" t="s">
        <v>863</v>
      </c>
      <c r="L178" t="s">
        <v>28</v>
      </c>
      <c r="M178" t="s">
        <v>358</v>
      </c>
      <c r="N178" t="s">
        <v>728</v>
      </c>
      <c r="O178">
        <v>298.02</v>
      </c>
      <c r="Q178">
        <v>447.03</v>
      </c>
      <c r="R178"/>
      <c r="S178">
        <v>894.06</v>
      </c>
      <c r="T178">
        <v>149.01</v>
      </c>
      <c r="U178">
        <v>894.06</v>
      </c>
      <c r="V178" t="s">
        <v>864</v>
      </c>
      <c r="W178" t="s">
        <v>865</v>
      </c>
    </row>
    <row r="179" spans="1:23" hidden="1" x14ac:dyDescent="0.3">
      <c r="A179">
        <v>19</v>
      </c>
      <c r="B179" t="s">
        <v>792</v>
      </c>
      <c r="C179" t="s">
        <v>866</v>
      </c>
      <c r="D179">
        <v>2</v>
      </c>
      <c r="E179">
        <v>66.7</v>
      </c>
      <c r="F179">
        <v>133.4</v>
      </c>
      <c r="G179" t="s">
        <v>23</v>
      </c>
      <c r="H179" t="s">
        <v>794</v>
      </c>
      <c r="I179" t="s">
        <v>795</v>
      </c>
      <c r="J179" t="s">
        <v>26</v>
      </c>
      <c r="K179" t="s">
        <v>867</v>
      </c>
      <c r="L179" t="s">
        <v>28</v>
      </c>
      <c r="M179" t="s">
        <v>358</v>
      </c>
      <c r="N179" t="s">
        <v>868</v>
      </c>
      <c r="O179">
        <v>234</v>
      </c>
      <c r="Q179">
        <v>351</v>
      </c>
      <c r="R179"/>
      <c r="S179">
        <v>702</v>
      </c>
      <c r="T179">
        <v>117</v>
      </c>
      <c r="U179">
        <v>702</v>
      </c>
      <c r="V179" t="s">
        <v>869</v>
      </c>
      <c r="W179" t="s">
        <v>870</v>
      </c>
    </row>
    <row r="180" spans="1:23" hidden="1" x14ac:dyDescent="0.3">
      <c r="A180">
        <v>20</v>
      </c>
      <c r="B180" t="s">
        <v>792</v>
      </c>
      <c r="C180" t="s">
        <v>871</v>
      </c>
      <c r="D180">
        <v>1</v>
      </c>
      <c r="E180">
        <v>66.7</v>
      </c>
      <c r="F180">
        <v>66.7</v>
      </c>
      <c r="G180" t="s">
        <v>23</v>
      </c>
      <c r="H180" t="s">
        <v>794</v>
      </c>
      <c r="I180" t="s">
        <v>795</v>
      </c>
      <c r="J180" t="s">
        <v>26</v>
      </c>
      <c r="K180" t="s">
        <v>872</v>
      </c>
      <c r="L180" t="s">
        <v>28</v>
      </c>
      <c r="M180" t="s">
        <v>358</v>
      </c>
      <c r="N180" t="s">
        <v>873</v>
      </c>
      <c r="O180">
        <v>234</v>
      </c>
      <c r="Q180">
        <v>351</v>
      </c>
      <c r="R180"/>
      <c r="S180">
        <v>351</v>
      </c>
      <c r="T180">
        <v>117</v>
      </c>
      <c r="U180">
        <v>351</v>
      </c>
      <c r="V180" t="s">
        <v>874</v>
      </c>
      <c r="W180" t="s">
        <v>875</v>
      </c>
    </row>
    <row r="181" spans="1:23" hidden="1" x14ac:dyDescent="0.3">
      <c r="A181">
        <v>48</v>
      </c>
      <c r="B181" t="s">
        <v>876</v>
      </c>
      <c r="C181" t="s">
        <v>877</v>
      </c>
      <c r="D181">
        <v>17</v>
      </c>
      <c r="E181">
        <v>287</v>
      </c>
      <c r="F181">
        <v>4879</v>
      </c>
      <c r="G181" t="s">
        <v>23</v>
      </c>
      <c r="H181" t="s">
        <v>174</v>
      </c>
      <c r="I181" t="s">
        <v>175</v>
      </c>
      <c r="J181" t="s">
        <v>26</v>
      </c>
      <c r="K181" t="s">
        <v>878</v>
      </c>
      <c r="L181" t="s">
        <v>28</v>
      </c>
      <c r="M181" t="s">
        <v>433</v>
      </c>
      <c r="N181" t="s">
        <v>879</v>
      </c>
      <c r="O181">
        <v>153.04</v>
      </c>
      <c r="Q181">
        <v>229.56</v>
      </c>
      <c r="R181"/>
      <c r="S181">
        <v>3902.52</v>
      </c>
      <c r="T181">
        <v>76.52</v>
      </c>
      <c r="U181">
        <v>3902.52</v>
      </c>
      <c r="V181" t="s">
        <v>880</v>
      </c>
      <c r="W181" t="s">
        <v>881</v>
      </c>
    </row>
    <row r="182" spans="1:23" x14ac:dyDescent="0.3">
      <c r="A182">
        <v>203</v>
      </c>
      <c r="B182" t="s">
        <v>667</v>
      </c>
      <c r="C182" t="s">
        <v>668</v>
      </c>
      <c r="D182">
        <v>10</v>
      </c>
      <c r="E182" s="2">
        <v>2417.4299999999998</v>
      </c>
      <c r="F182">
        <v>24174.3</v>
      </c>
      <c r="G182" t="s">
        <v>23</v>
      </c>
      <c r="H182" t="s">
        <v>502</v>
      </c>
      <c r="I182" t="s">
        <v>503</v>
      </c>
      <c r="J182" t="s">
        <v>26</v>
      </c>
      <c r="K182" t="s">
        <v>27</v>
      </c>
      <c r="L182" t="s">
        <v>28</v>
      </c>
      <c r="M182" t="s">
        <v>559</v>
      </c>
      <c r="N182" t="s">
        <v>669</v>
      </c>
      <c r="O182">
        <v>1458</v>
      </c>
      <c r="P182" s="2">
        <f>O182*D182</f>
        <v>14580</v>
      </c>
      <c r="Q182" s="1">
        <v>2187</v>
      </c>
      <c r="R182" s="1">
        <f>(Q182-O182)*D182</f>
        <v>7290</v>
      </c>
      <c r="S182" s="1">
        <v>21870</v>
      </c>
      <c r="T182">
        <v>729</v>
      </c>
      <c r="U182">
        <v>21870</v>
      </c>
      <c r="V182" t="s">
        <v>670</v>
      </c>
      <c r="W182" t="s">
        <v>671</v>
      </c>
    </row>
    <row r="183" spans="1:23" hidden="1" x14ac:dyDescent="0.3">
      <c r="A183">
        <v>21</v>
      </c>
      <c r="B183" t="s">
        <v>885</v>
      </c>
      <c r="C183" t="s">
        <v>886</v>
      </c>
      <c r="D183">
        <v>2</v>
      </c>
      <c r="E183">
        <v>168</v>
      </c>
      <c r="F183">
        <v>1008</v>
      </c>
      <c r="G183" t="s">
        <v>23</v>
      </c>
      <c r="H183" t="s">
        <v>674</v>
      </c>
      <c r="I183" t="s">
        <v>675</v>
      </c>
      <c r="J183" t="s">
        <v>26</v>
      </c>
      <c r="K183" t="s">
        <v>887</v>
      </c>
      <c r="L183" t="s">
        <v>28</v>
      </c>
      <c r="M183" t="s">
        <v>433</v>
      </c>
      <c r="N183" t="s">
        <v>888</v>
      </c>
      <c r="O183">
        <v>127.56</v>
      </c>
      <c r="Q183">
        <v>191.34</v>
      </c>
      <c r="R183"/>
      <c r="S183">
        <v>382.68</v>
      </c>
      <c r="T183">
        <v>63.78</v>
      </c>
      <c r="U183">
        <v>382.68</v>
      </c>
      <c r="V183" t="s">
        <v>889</v>
      </c>
      <c r="W183" t="s">
        <v>890</v>
      </c>
    </row>
    <row r="184" spans="1:23" x14ac:dyDescent="0.3">
      <c r="Q184" s="1">
        <f>SUM(Q91:Q182)</f>
        <v>110930.01999999999</v>
      </c>
      <c r="S184" s="1">
        <f>SUM(S91:S182)</f>
        <v>616638.50000000023</v>
      </c>
    </row>
  </sheetData>
  <autoFilter ref="A1:AR183" xr:uid="{00000000-0001-0000-0000-000000000000}">
    <filterColumn colId="8">
      <filters>
        <filter val="926910_900052026"/>
      </filters>
    </filterColumn>
    <sortState xmlns:xlrd2="http://schemas.microsoft.com/office/spreadsheetml/2017/richdata2" ref="A91:W182">
      <sortCondition ref="A1:A18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5B87-1A7E-4009-BFF5-BEA8F9CB84A1}">
  <dimension ref="A1:G43"/>
  <sheetViews>
    <sheetView topLeftCell="A32" workbookViewId="0">
      <selection activeCell="G44" sqref="G44"/>
    </sheetView>
  </sheetViews>
  <sheetFormatPr defaultRowHeight="14.4" x14ac:dyDescent="0.3"/>
  <cols>
    <col min="6" max="6" width="16.77734375" style="2" customWidth="1"/>
    <col min="7" max="7" width="22.109375" style="2" customWidth="1"/>
  </cols>
  <sheetData>
    <row r="1" spans="1:7" ht="15" thickBot="1" x14ac:dyDescent="0.35">
      <c r="A1" s="3">
        <v>163</v>
      </c>
      <c r="B1" s="4">
        <v>20</v>
      </c>
      <c r="C1" s="4" t="s">
        <v>29</v>
      </c>
      <c r="D1" s="4" t="s">
        <v>507</v>
      </c>
      <c r="E1" s="5"/>
      <c r="F1" s="16">
        <v>119</v>
      </c>
      <c r="G1" s="16">
        <v>6717</v>
      </c>
    </row>
    <row r="2" spans="1:7" ht="29.4" thickBot="1" x14ac:dyDescent="0.35">
      <c r="A2" s="6">
        <v>164</v>
      </c>
      <c r="B2" s="7">
        <v>20</v>
      </c>
      <c r="C2" s="7" t="s">
        <v>29</v>
      </c>
      <c r="D2" s="7" t="s">
        <v>892</v>
      </c>
      <c r="E2" s="8"/>
      <c r="F2" s="17">
        <v>543</v>
      </c>
      <c r="G2" s="17">
        <v>10860</v>
      </c>
    </row>
    <row r="3" spans="1:7" ht="15" thickBot="1" x14ac:dyDescent="0.35">
      <c r="A3" s="6">
        <v>165</v>
      </c>
      <c r="B3" s="7">
        <v>15</v>
      </c>
      <c r="C3" s="7" t="s">
        <v>29</v>
      </c>
      <c r="D3" s="7" t="s">
        <v>71</v>
      </c>
      <c r="E3" s="8"/>
      <c r="F3" s="17">
        <v>138</v>
      </c>
      <c r="G3" s="17">
        <v>2070</v>
      </c>
    </row>
    <row r="4" spans="1:7" ht="29.4" thickBot="1" x14ac:dyDescent="0.35">
      <c r="A4" s="6">
        <v>166</v>
      </c>
      <c r="B4" s="7">
        <v>10</v>
      </c>
      <c r="C4" s="7" t="s">
        <v>519</v>
      </c>
      <c r="D4" s="7" t="s">
        <v>520</v>
      </c>
      <c r="E4" s="8"/>
      <c r="F4" s="17">
        <v>15</v>
      </c>
      <c r="G4" s="17">
        <v>150</v>
      </c>
    </row>
    <row r="5" spans="1:7" ht="29.4" thickBot="1" x14ac:dyDescent="0.35">
      <c r="A5" s="6">
        <v>167</v>
      </c>
      <c r="B5" s="7">
        <v>15</v>
      </c>
      <c r="C5" s="7" t="s">
        <v>893</v>
      </c>
      <c r="D5" s="7" t="s">
        <v>894</v>
      </c>
      <c r="E5" s="8"/>
      <c r="F5" s="17">
        <v>1709.88</v>
      </c>
      <c r="G5" s="17">
        <v>25648.2</v>
      </c>
    </row>
    <row r="6" spans="1:7" ht="15" thickBot="1" x14ac:dyDescent="0.35">
      <c r="A6" s="6">
        <v>168</v>
      </c>
      <c r="B6" s="7">
        <v>500</v>
      </c>
      <c r="C6" s="7" t="s">
        <v>52</v>
      </c>
      <c r="D6" s="7" t="s">
        <v>529</v>
      </c>
      <c r="E6" s="8"/>
      <c r="F6" s="17">
        <v>26.97</v>
      </c>
      <c r="G6" s="17">
        <v>13485</v>
      </c>
    </row>
    <row r="7" spans="1:7" ht="58.2" thickBot="1" x14ac:dyDescent="0.35">
      <c r="A7" s="6">
        <v>169</v>
      </c>
      <c r="B7" s="7">
        <v>80</v>
      </c>
      <c r="C7" s="7" t="s">
        <v>278</v>
      </c>
      <c r="D7" s="7" t="s">
        <v>895</v>
      </c>
      <c r="E7" s="8"/>
      <c r="F7" s="17">
        <v>18</v>
      </c>
      <c r="G7" s="17">
        <v>1440</v>
      </c>
    </row>
    <row r="8" spans="1:7" ht="59.4" customHeight="1" x14ac:dyDescent="0.3">
      <c r="A8" s="12">
        <v>170</v>
      </c>
      <c r="B8" s="12">
        <v>30</v>
      </c>
      <c r="C8" s="12" t="s">
        <v>896</v>
      </c>
      <c r="D8" s="12" t="s">
        <v>897</v>
      </c>
      <c r="E8" s="14"/>
      <c r="F8" s="18" t="s">
        <v>912</v>
      </c>
      <c r="G8" s="18" t="s">
        <v>912</v>
      </c>
    </row>
    <row r="9" spans="1:7" ht="15" thickBot="1" x14ac:dyDescent="0.35">
      <c r="A9" s="13"/>
      <c r="B9" s="13"/>
      <c r="C9" s="13"/>
      <c r="D9" s="13"/>
      <c r="E9" s="15"/>
      <c r="F9" s="19"/>
      <c r="G9" s="19"/>
    </row>
    <row r="10" spans="1:7" ht="15" thickBot="1" x14ac:dyDescent="0.35">
      <c r="A10" s="6">
        <v>171</v>
      </c>
      <c r="B10" s="7">
        <v>15</v>
      </c>
      <c r="C10" s="7" t="s">
        <v>519</v>
      </c>
      <c r="D10" s="7">
        <v>68000</v>
      </c>
      <c r="E10" s="8"/>
      <c r="F10" s="17">
        <v>64.88</v>
      </c>
      <c r="G10" s="17">
        <v>973.2</v>
      </c>
    </row>
    <row r="11" spans="1:7" ht="29.4" thickBot="1" x14ac:dyDescent="0.35">
      <c r="A11" s="6">
        <v>172</v>
      </c>
      <c r="B11" s="7">
        <v>60</v>
      </c>
      <c r="C11" s="7" t="s">
        <v>278</v>
      </c>
      <c r="D11" s="7" t="s">
        <v>898</v>
      </c>
      <c r="E11" s="8"/>
      <c r="F11" s="17">
        <v>85.35</v>
      </c>
      <c r="G11" s="17">
        <v>5121</v>
      </c>
    </row>
    <row r="12" spans="1:7" ht="29.4" thickBot="1" x14ac:dyDescent="0.35">
      <c r="A12" s="6">
        <v>173</v>
      </c>
      <c r="B12" s="7">
        <v>30</v>
      </c>
      <c r="C12" s="7" t="s">
        <v>550</v>
      </c>
      <c r="D12" s="7" t="s">
        <v>551</v>
      </c>
      <c r="E12" s="8"/>
      <c r="F12" s="17">
        <v>44</v>
      </c>
      <c r="G12" s="17">
        <v>1320</v>
      </c>
    </row>
    <row r="13" spans="1:7" ht="29.4" thickBot="1" x14ac:dyDescent="0.35">
      <c r="A13" s="6">
        <v>174</v>
      </c>
      <c r="B13" s="7">
        <v>30</v>
      </c>
      <c r="C13" s="7" t="s">
        <v>550</v>
      </c>
      <c r="D13" s="7" t="s">
        <v>551</v>
      </c>
      <c r="E13" s="8"/>
      <c r="F13" s="17">
        <v>45.66</v>
      </c>
      <c r="G13" s="17">
        <v>1369.8</v>
      </c>
    </row>
    <row r="14" spans="1:7" ht="15" thickBot="1" x14ac:dyDescent="0.35">
      <c r="A14" s="6">
        <v>175</v>
      </c>
      <c r="B14" s="7">
        <v>30</v>
      </c>
      <c r="C14" s="7" t="s">
        <v>899</v>
      </c>
      <c r="D14" s="7" t="s">
        <v>900</v>
      </c>
      <c r="E14" s="8"/>
      <c r="F14" s="17">
        <v>50</v>
      </c>
      <c r="G14" s="17">
        <v>1500</v>
      </c>
    </row>
    <row r="15" spans="1:7" ht="29.4" thickBot="1" x14ac:dyDescent="0.35">
      <c r="A15" s="6">
        <v>176</v>
      </c>
      <c r="B15" s="7">
        <v>10</v>
      </c>
      <c r="C15" s="7" t="s">
        <v>559</v>
      </c>
      <c r="D15" s="7" t="s">
        <v>560</v>
      </c>
      <c r="E15" s="8"/>
      <c r="F15" s="17">
        <v>250</v>
      </c>
      <c r="G15" s="17">
        <v>2500</v>
      </c>
    </row>
    <row r="16" spans="1:7" ht="15" thickBot="1" x14ac:dyDescent="0.35">
      <c r="A16" s="6">
        <v>177</v>
      </c>
      <c r="B16" s="7">
        <v>20</v>
      </c>
      <c r="C16" s="7" t="s">
        <v>213</v>
      </c>
      <c r="D16" s="7" t="s">
        <v>901</v>
      </c>
      <c r="E16" s="8"/>
      <c r="F16" s="17">
        <v>442.5</v>
      </c>
      <c r="G16" s="17">
        <v>8850</v>
      </c>
    </row>
    <row r="17" spans="1:7" ht="29.4" thickBot="1" x14ac:dyDescent="0.35">
      <c r="A17" s="6">
        <v>178</v>
      </c>
      <c r="B17" s="7">
        <v>8</v>
      </c>
      <c r="C17" s="7" t="s">
        <v>559</v>
      </c>
      <c r="D17" s="7" t="s">
        <v>567</v>
      </c>
      <c r="E17" s="8"/>
      <c r="F17" s="17">
        <v>355</v>
      </c>
      <c r="G17" s="17">
        <v>2840</v>
      </c>
    </row>
    <row r="18" spans="1:7" ht="29.4" thickBot="1" x14ac:dyDescent="0.35">
      <c r="A18" s="6">
        <v>179</v>
      </c>
      <c r="B18" s="7">
        <v>30</v>
      </c>
      <c r="C18" s="7" t="s">
        <v>572</v>
      </c>
      <c r="D18" s="7" t="s">
        <v>573</v>
      </c>
      <c r="E18" s="8"/>
      <c r="F18" s="17">
        <v>35</v>
      </c>
      <c r="G18" s="17">
        <v>1050</v>
      </c>
    </row>
    <row r="19" spans="1:7" ht="43.8" thickBot="1" x14ac:dyDescent="0.35">
      <c r="A19" s="9">
        <v>180</v>
      </c>
      <c r="B19" s="7">
        <v>20</v>
      </c>
      <c r="C19" s="10" t="s">
        <v>902</v>
      </c>
      <c r="D19" s="10" t="s">
        <v>903</v>
      </c>
      <c r="E19" s="11"/>
      <c r="F19" s="20">
        <v>41</v>
      </c>
      <c r="G19" s="20">
        <v>820</v>
      </c>
    </row>
    <row r="20" spans="1:7" ht="15" thickBot="1" x14ac:dyDescent="0.35">
      <c r="A20" s="6">
        <v>181</v>
      </c>
      <c r="B20" s="7">
        <v>20</v>
      </c>
      <c r="C20" s="10" t="s">
        <v>902</v>
      </c>
      <c r="D20" s="10" t="s">
        <v>904</v>
      </c>
      <c r="E20" s="11"/>
      <c r="F20" s="20">
        <v>39</v>
      </c>
      <c r="G20" s="20">
        <v>780</v>
      </c>
    </row>
    <row r="21" spans="1:7" ht="15" thickBot="1" x14ac:dyDescent="0.35">
      <c r="A21" s="6">
        <v>182</v>
      </c>
      <c r="B21" s="7">
        <v>30</v>
      </c>
      <c r="C21" s="7" t="s">
        <v>113</v>
      </c>
      <c r="D21" s="7" t="s">
        <v>583</v>
      </c>
      <c r="E21" s="8"/>
      <c r="F21" s="17">
        <v>32</v>
      </c>
      <c r="G21" s="17">
        <v>960</v>
      </c>
    </row>
    <row r="22" spans="1:7" ht="58.2" thickBot="1" x14ac:dyDescent="0.35">
      <c r="A22" s="6">
        <v>183</v>
      </c>
      <c r="B22" s="7">
        <v>10</v>
      </c>
      <c r="C22" s="7" t="s">
        <v>588</v>
      </c>
      <c r="D22" s="7" t="s">
        <v>905</v>
      </c>
      <c r="E22" s="8"/>
      <c r="F22" s="17">
        <v>4793</v>
      </c>
      <c r="G22" s="17">
        <v>60176.800000000003</v>
      </c>
    </row>
    <row r="23" spans="1:7" ht="29.4" thickBot="1" x14ac:dyDescent="0.35">
      <c r="A23" s="6">
        <v>184</v>
      </c>
      <c r="B23" s="7">
        <v>10</v>
      </c>
      <c r="C23" s="7" t="s">
        <v>594</v>
      </c>
      <c r="D23" s="7" t="s">
        <v>906</v>
      </c>
      <c r="E23" s="8"/>
      <c r="F23" s="17">
        <v>1438.5</v>
      </c>
      <c r="G23" s="17">
        <v>14385</v>
      </c>
    </row>
    <row r="24" spans="1:7" ht="15" thickBot="1" x14ac:dyDescent="0.35">
      <c r="A24" s="6">
        <v>185</v>
      </c>
      <c r="B24" s="7">
        <v>20</v>
      </c>
      <c r="C24" s="7" t="s">
        <v>278</v>
      </c>
      <c r="D24" s="7" t="s">
        <v>599</v>
      </c>
      <c r="E24" s="8"/>
      <c r="F24" s="17">
        <v>32.85</v>
      </c>
      <c r="G24" s="17">
        <v>657</v>
      </c>
    </row>
    <row r="25" spans="1:7" ht="15" thickBot="1" x14ac:dyDescent="0.35">
      <c r="A25" s="6">
        <v>186</v>
      </c>
      <c r="B25" s="7">
        <v>15</v>
      </c>
      <c r="C25" s="7" t="s">
        <v>278</v>
      </c>
      <c r="D25" s="7" t="s">
        <v>599</v>
      </c>
      <c r="E25" s="8"/>
      <c r="F25" s="17">
        <v>32.85</v>
      </c>
      <c r="G25" s="17">
        <v>492.75</v>
      </c>
    </row>
    <row r="26" spans="1:7" ht="29.4" thickBot="1" x14ac:dyDescent="0.35">
      <c r="A26" s="6">
        <v>187</v>
      </c>
      <c r="B26" s="7">
        <v>30</v>
      </c>
      <c r="C26" s="7" t="s">
        <v>606</v>
      </c>
      <c r="D26" s="7" t="s">
        <v>607</v>
      </c>
      <c r="E26" s="8"/>
      <c r="F26" s="17">
        <v>172.29</v>
      </c>
      <c r="G26" s="17">
        <v>5168.7</v>
      </c>
    </row>
    <row r="27" spans="1:7" ht="29.4" thickBot="1" x14ac:dyDescent="0.35">
      <c r="A27" s="6">
        <v>188</v>
      </c>
      <c r="B27" s="7">
        <v>60</v>
      </c>
      <c r="C27" s="7" t="s">
        <v>606</v>
      </c>
      <c r="D27" s="7" t="s">
        <v>612</v>
      </c>
      <c r="E27" s="8"/>
      <c r="F27" s="17">
        <v>140</v>
      </c>
      <c r="G27" s="17">
        <v>8400</v>
      </c>
    </row>
    <row r="28" spans="1:7" ht="15" thickBot="1" x14ac:dyDescent="0.35">
      <c r="A28" s="6">
        <v>189</v>
      </c>
      <c r="B28" s="7">
        <v>30</v>
      </c>
      <c r="C28" s="7" t="s">
        <v>278</v>
      </c>
      <c r="D28" s="7" t="s">
        <v>617</v>
      </c>
      <c r="E28" s="8"/>
      <c r="F28" s="17">
        <v>120</v>
      </c>
      <c r="G28" s="17">
        <v>1930.5</v>
      </c>
    </row>
    <row r="29" spans="1:7" ht="43.8" thickBot="1" x14ac:dyDescent="0.35">
      <c r="A29" s="6">
        <v>190</v>
      </c>
      <c r="B29" s="7">
        <v>100</v>
      </c>
      <c r="C29" s="7" t="s">
        <v>907</v>
      </c>
      <c r="D29" s="7" t="s">
        <v>908</v>
      </c>
      <c r="E29" s="8"/>
      <c r="F29" s="17">
        <v>18</v>
      </c>
      <c r="G29" s="17">
        <v>1800</v>
      </c>
    </row>
    <row r="30" spans="1:7" ht="29.4" thickBot="1" x14ac:dyDescent="0.35">
      <c r="A30" s="6">
        <v>191</v>
      </c>
      <c r="B30" s="7">
        <v>20</v>
      </c>
      <c r="C30" s="7" t="s">
        <v>433</v>
      </c>
      <c r="D30" s="7" t="s">
        <v>623</v>
      </c>
      <c r="E30" s="8"/>
      <c r="F30" s="17">
        <v>270</v>
      </c>
      <c r="G30" s="17">
        <v>5635.2</v>
      </c>
    </row>
    <row r="31" spans="1:7" ht="29.4" thickBot="1" x14ac:dyDescent="0.35">
      <c r="A31" s="6">
        <v>192</v>
      </c>
      <c r="B31" s="7">
        <v>20</v>
      </c>
      <c r="C31" s="7" t="s">
        <v>56</v>
      </c>
      <c r="D31" s="7" t="s">
        <v>626</v>
      </c>
      <c r="E31" s="8"/>
      <c r="F31" s="17">
        <v>65</v>
      </c>
      <c r="G31" s="17">
        <v>1300</v>
      </c>
    </row>
    <row r="32" spans="1:7" ht="29.4" thickBot="1" x14ac:dyDescent="0.35">
      <c r="A32" s="6">
        <v>193</v>
      </c>
      <c r="B32" s="7">
        <v>100</v>
      </c>
      <c r="C32" s="7" t="s">
        <v>606</v>
      </c>
      <c r="D32" s="7" t="s">
        <v>631</v>
      </c>
      <c r="E32" s="8"/>
      <c r="F32" s="17">
        <v>15.18</v>
      </c>
      <c r="G32" s="17">
        <v>1518</v>
      </c>
    </row>
    <row r="33" spans="1:7" ht="29.4" thickBot="1" x14ac:dyDescent="0.35">
      <c r="A33" s="6">
        <v>194</v>
      </c>
      <c r="B33" s="7">
        <v>100</v>
      </c>
      <c r="C33" s="7" t="s">
        <v>606</v>
      </c>
      <c r="D33" s="7" t="s">
        <v>635</v>
      </c>
      <c r="E33" s="8"/>
      <c r="F33" s="17">
        <v>33</v>
      </c>
      <c r="G33" s="17">
        <v>3300</v>
      </c>
    </row>
    <row r="34" spans="1:7" ht="29.4" thickBot="1" x14ac:dyDescent="0.35">
      <c r="A34" s="6">
        <v>195</v>
      </c>
      <c r="B34" s="7">
        <v>100</v>
      </c>
      <c r="C34" s="7" t="s">
        <v>606</v>
      </c>
      <c r="D34" s="7" t="s">
        <v>638</v>
      </c>
      <c r="E34" s="8"/>
      <c r="F34" s="17">
        <v>35</v>
      </c>
      <c r="G34" s="17">
        <v>3500</v>
      </c>
    </row>
    <row r="35" spans="1:7" ht="29.4" thickBot="1" x14ac:dyDescent="0.35">
      <c r="A35" s="6">
        <v>196</v>
      </c>
      <c r="B35" s="7">
        <v>24</v>
      </c>
      <c r="C35" s="7" t="s">
        <v>606</v>
      </c>
      <c r="D35" s="7" t="s">
        <v>642</v>
      </c>
      <c r="E35" s="8"/>
      <c r="F35" s="17">
        <v>1193.99</v>
      </c>
      <c r="G35" s="17">
        <v>28655.64</v>
      </c>
    </row>
    <row r="36" spans="1:7" ht="43.8" thickBot="1" x14ac:dyDescent="0.35">
      <c r="A36" s="6">
        <v>197</v>
      </c>
      <c r="B36" s="7">
        <v>10</v>
      </c>
      <c r="C36" s="7" t="s">
        <v>559</v>
      </c>
      <c r="D36" s="7" t="s">
        <v>647</v>
      </c>
      <c r="E36" s="8"/>
      <c r="F36" s="17">
        <v>769.5</v>
      </c>
      <c r="G36" s="17">
        <v>7695</v>
      </c>
    </row>
    <row r="37" spans="1:7" ht="43.8" thickBot="1" x14ac:dyDescent="0.35">
      <c r="A37" s="6">
        <v>198</v>
      </c>
      <c r="B37" s="7">
        <v>10</v>
      </c>
      <c r="C37" s="7" t="s">
        <v>559</v>
      </c>
      <c r="D37" s="7" t="s">
        <v>647</v>
      </c>
      <c r="E37" s="8"/>
      <c r="F37" s="17">
        <v>769.5</v>
      </c>
      <c r="G37" s="17">
        <v>7695</v>
      </c>
    </row>
    <row r="38" spans="1:7" ht="29.4" thickBot="1" x14ac:dyDescent="0.35">
      <c r="A38" s="6">
        <v>199</v>
      </c>
      <c r="B38" s="7">
        <v>80</v>
      </c>
      <c r="C38" s="7" t="s">
        <v>651</v>
      </c>
      <c r="D38" s="7" t="s">
        <v>909</v>
      </c>
      <c r="E38" s="8"/>
      <c r="F38" s="17">
        <v>364</v>
      </c>
      <c r="G38" s="17">
        <v>29120</v>
      </c>
    </row>
    <row r="39" spans="1:7" ht="15" thickBot="1" x14ac:dyDescent="0.35">
      <c r="A39" s="6">
        <v>200</v>
      </c>
      <c r="B39" s="7">
        <v>30</v>
      </c>
      <c r="C39" s="7" t="s">
        <v>300</v>
      </c>
      <c r="D39" s="7" t="s">
        <v>656</v>
      </c>
      <c r="E39" s="8"/>
      <c r="F39" s="17">
        <v>794.58</v>
      </c>
      <c r="G39" s="17">
        <v>23837.4</v>
      </c>
    </row>
    <row r="40" spans="1:7" ht="43.8" thickBot="1" x14ac:dyDescent="0.35">
      <c r="A40" s="6">
        <v>201</v>
      </c>
      <c r="B40" s="7">
        <v>20</v>
      </c>
      <c r="C40" s="7" t="s">
        <v>519</v>
      </c>
      <c r="D40" s="7" t="s">
        <v>910</v>
      </c>
      <c r="E40" s="8"/>
      <c r="F40" s="17">
        <v>567</v>
      </c>
      <c r="G40" s="17">
        <v>11340</v>
      </c>
    </row>
    <row r="41" spans="1:7" ht="29.4" thickBot="1" x14ac:dyDescent="0.35">
      <c r="A41" s="6">
        <v>202</v>
      </c>
      <c r="B41" s="7">
        <v>30</v>
      </c>
      <c r="C41" s="7" t="s">
        <v>660</v>
      </c>
      <c r="D41" s="7" t="s">
        <v>665</v>
      </c>
      <c r="E41" s="8"/>
      <c r="F41" s="17">
        <v>510.63</v>
      </c>
      <c r="G41" s="17">
        <v>15318.9</v>
      </c>
    </row>
    <row r="42" spans="1:7" ht="29.4" thickBot="1" x14ac:dyDescent="0.35">
      <c r="A42" s="6">
        <v>203</v>
      </c>
      <c r="B42" s="7">
        <v>10</v>
      </c>
      <c r="C42" s="7" t="s">
        <v>559</v>
      </c>
      <c r="D42" s="7" t="s">
        <v>911</v>
      </c>
      <c r="E42" s="8"/>
      <c r="F42" s="17">
        <v>2187</v>
      </c>
      <c r="G42" s="17">
        <v>21870</v>
      </c>
    </row>
    <row r="43" spans="1:7" x14ac:dyDescent="0.3">
      <c r="G43" s="2">
        <f>SUM(G1:G42)</f>
        <v>342250.09000000008</v>
      </c>
    </row>
  </sheetData>
  <mergeCells count="7">
    <mergeCell ref="G8:G9"/>
    <mergeCell ref="A8:A9"/>
    <mergeCell ref="B8:B9"/>
    <mergeCell ref="C8:C9"/>
    <mergeCell ref="D8:D9"/>
    <mergeCell ref="E8:E9"/>
    <mergeCell ref="F8:F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Pietro M. Rampazzo</cp:lastModifiedBy>
  <dcterms:created xsi:type="dcterms:W3CDTF">2026-03-18T14:20:33Z</dcterms:created>
  <dcterms:modified xsi:type="dcterms:W3CDTF">2026-03-19T21:16:39Z</dcterms:modified>
</cp:coreProperties>
</file>