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14" documentId="11_294921FDD9EB4B04D32C4C1D15EF240D7879655D" xr6:coauthVersionLast="47" xr6:coauthVersionMax="47" xr10:uidLastSave="{D3A826D4-B872-4F84-9317-AE4CFE78B755}"/>
  <bookViews>
    <workbookView xWindow="11424" yWindow="0" windowWidth="11712" windowHeight="12336" xr2:uid="{00000000-000D-0000-FFFF-FFFF00000000}"/>
  </bookViews>
  <sheets>
    <sheet name="Sheet1" sheetId="1" r:id="rId1"/>
  </sheets>
  <definedNames>
    <definedName name="_xlnm._FilterDatabase" localSheetId="0" hidden="1">Sheet1!$A$1:$J$83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1" l="1"/>
  <c r="E77" i="1"/>
  <c r="E78" i="1"/>
  <c r="E79" i="1"/>
  <c r="E80" i="1"/>
  <c r="E81" i="1"/>
  <c r="E82" i="1"/>
  <c r="E83" i="1"/>
  <c r="E75" i="1"/>
</calcChain>
</file>

<file path=xl/sharedStrings.xml><?xml version="1.0" encoding="utf-8"?>
<sst xmlns="http://schemas.openxmlformats.org/spreadsheetml/2006/main" count="494" uniqueCount="252">
  <si>
    <t>Nº</t>
  </si>
  <si>
    <t>DESCRICAO</t>
  </si>
  <si>
    <t>REFERENCIA</t>
  </si>
  <si>
    <t>QTDE</t>
  </si>
  <si>
    <t>VALOR_UNIT</t>
  </si>
  <si>
    <t>VALOR_TOTAL</t>
  </si>
  <si>
    <t>UNID_FORN</t>
  </si>
  <si>
    <t>LOCAL_ENTREGA</t>
  </si>
  <si>
    <t>ARQUIVO</t>
  </si>
  <si>
    <t>12</t>
  </si>
  <si>
    <t>21</t>
  </si>
  <si>
    <t>22</t>
  </si>
  <si>
    <t>24</t>
  </si>
  <si>
    <t>25</t>
  </si>
  <si>
    <t>26</t>
  </si>
  <si>
    <t>27</t>
  </si>
  <si>
    <t>34</t>
  </si>
  <si>
    <t>40</t>
  </si>
  <si>
    <t>41</t>
  </si>
  <si>
    <t>43</t>
  </si>
  <si>
    <t>45</t>
  </si>
  <si>
    <t>46</t>
  </si>
  <si>
    <t>47</t>
  </si>
  <si>
    <t>51</t>
  </si>
  <si>
    <t>52</t>
  </si>
  <si>
    <t>53</t>
  </si>
  <si>
    <t>54</t>
  </si>
  <si>
    <t>55</t>
  </si>
  <si>
    <t>56</t>
  </si>
  <si>
    <t>57</t>
  </si>
  <si>
    <t>58</t>
  </si>
  <si>
    <t>59</t>
  </si>
  <si>
    <t>60</t>
  </si>
  <si>
    <t>64</t>
  </si>
  <si>
    <t>65</t>
  </si>
  <si>
    <t>69</t>
  </si>
  <si>
    <t>70</t>
  </si>
  <si>
    <t>71</t>
  </si>
  <si>
    <t>72</t>
  </si>
  <si>
    <t>73</t>
  </si>
  <si>
    <t>74</t>
  </si>
  <si>
    <t>79</t>
  </si>
  <si>
    <t>80</t>
  </si>
  <si>
    <t>84</t>
  </si>
  <si>
    <t>85</t>
  </si>
  <si>
    <t>86</t>
  </si>
  <si>
    <t>91</t>
  </si>
  <si>
    <t>95</t>
  </si>
  <si>
    <t>97</t>
  </si>
  <si>
    <t>4</t>
  </si>
  <si>
    <t>5</t>
  </si>
  <si>
    <t>9</t>
  </si>
  <si>
    <t>15</t>
  </si>
  <si>
    <t>20</t>
  </si>
  <si>
    <t>28</t>
  </si>
  <si>
    <t>32</t>
  </si>
  <si>
    <t>35</t>
  </si>
  <si>
    <t>36</t>
  </si>
  <si>
    <t>37</t>
  </si>
  <si>
    <t>38</t>
  </si>
  <si>
    <t>39</t>
  </si>
  <si>
    <t>42</t>
  </si>
  <si>
    <t>49</t>
  </si>
  <si>
    <t>50</t>
  </si>
  <si>
    <t>33</t>
  </si>
  <si>
    <t>1</t>
  </si>
  <si>
    <t>2</t>
  </si>
  <si>
    <t>3</t>
  </si>
  <si>
    <t>6</t>
  </si>
  <si>
    <t>7</t>
  </si>
  <si>
    <t>8</t>
  </si>
  <si>
    <t>10</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</si>
  <si>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</si>
  <si>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</si>
  <si>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</si>
  <si>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</si>
  <si>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</si>
  <si>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</si>
  <si>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</si>
  <si>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Adaptador conector Adaptador Conector Tipo Conectores: Usb, Hdmi, Screen Share, Touch Out, Nfc, Aplicação: Conexão Monitor Interativo Samsung</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</si>
  <si>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</si>
  <si>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</si>
  <si>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</si>
  <si>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Teleprompter Teleprompter Material Estrutura: Alumínio, Tipo Monitor: Led, Tamanho Monitor: 40 POL, Componentes: Base Giratória Da Câmera, Capa Proteção E Software, Aplicação: Gravação De Videos</t>
  </si>
  <si>
    <t>Fone ouvido Fone Ouvido Tipo: Profissional, Impedância: 32 OHMS, Freqüência: 20 HZ, Características Adicionais: Sem Fio, Bluetooth 5.0, Sensibilidade: 103 DB, Acoplamento Auricular: Circumaural (Over-Ear)</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</si>
  <si>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</si>
  <si>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</si>
  <si>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</si>
  <si>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</si>
  <si>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</si>
  <si>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</si>
  <si>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</si>
  <si>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</si>
  <si>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</si>
  <si>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</si>
  <si>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</si>
  <si>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</si>
  <si>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</si>
  <si>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</si>
  <si>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</si>
  <si>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</si>
  <si>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</si>
  <si>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</si>
  <si>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</si>
  <si>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</si>
  <si>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</si>
  <si>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</si>
  <si>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</si>
  <si>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</si>
  <si>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</si>
  <si>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</si>
  <si>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</si>
  <si>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</si>
  <si>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</si>
  <si>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</si>
  <si>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</si>
  <si>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</si>
  <si>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</si>
  <si>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</si>
  <si>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</si>
  <si>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</si>
  <si>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</si>
  <si>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</si>
  <si>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</si>
  <si>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</si>
  <si>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</si>
  <si>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</si>
  <si>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</si>
  <si>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</si>
  <si>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</si>
  <si>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</si>
  <si>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</si>
  <si>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</si>
  <si>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</si>
  <si>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</si>
  <si>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</si>
  <si>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</si>
  <si>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</si>
  <si>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</si>
  <si>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</si>
  <si>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</si>
  <si>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</si>
  <si>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</si>
  <si>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</si>
  <si>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</si>
  <si>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</si>
  <si>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</si>
  <si>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</si>
  <si>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</si>
  <si>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</si>
  <si>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</si>
  <si>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</si>
  <si>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</si>
  <si>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</si>
  <si>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</si>
  <si>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</si>
  <si>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</si>
  <si>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</si>
  <si>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</si>
  <si>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</si>
  <si>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</si>
  <si>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</si>
  <si>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</si>
  <si>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</si>
  <si>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</si>
  <si>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</si>
  <si>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</si>
  <si>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</si>
  <si>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</si>
  <si>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</si>
  <si>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</si>
  <si>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</si>
  <si>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</si>
  <si>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</si>
  <si>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</si>
  <si>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</si>
  <si>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</si>
  <si>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</si>
  <si>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</si>
  <si>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</si>
  <si>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</si>
  <si>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</si>
  <si>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</si>
  <si>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</si>
  <si>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</si>
  <si>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</si>
  <si>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</si>
  <si>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</si>
  <si>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</si>
  <si>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</si>
  <si>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</si>
  <si>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</si>
  <si>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</si>
  <si>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</si>
  <si>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</si>
  <si>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</si>
  <si>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</si>
  <si>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</si>
  <si>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</si>
  <si>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</si>
  <si>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</si>
  <si>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</si>
  <si>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</si>
  <si>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</si>
  <si>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</si>
  <si>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</si>
  <si>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</si>
  <si>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</si>
  <si>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</si>
  <si>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</si>
  <si>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</si>
  <si>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</si>
  <si>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</si>
  <si>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</si>
  <si>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</si>
  <si>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</si>
  <si>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</si>
  <si>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</si>
  <si>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</si>
  <si>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</si>
  <si>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</si>
  <si>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</si>
  <si>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</si>
  <si>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</si>
  <si>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</si>
  <si>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</si>
  <si>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</si>
  <si>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</si>
  <si>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</si>
  <si>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</si>
  <si>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</si>
  <si>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</si>
  <si>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</si>
  <si>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</si>
  <si>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</si>
  <si>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</si>
  <si>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</si>
  <si>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Porto Alegre/RS</t>
  </si>
  <si>
    <t>Chapecó/SC</t>
  </si>
  <si>
    <t>Realeza/PR</t>
  </si>
  <si>
    <t>Laranjeiras do Sul/PR</t>
  </si>
  <si>
    <t>Cerro Largo/RS</t>
  </si>
  <si>
    <t>Erechim/RS</t>
  </si>
  <si>
    <t>Rio de Janeiro/RJ</t>
  </si>
  <si>
    <t>São Paulo/SP</t>
  </si>
  <si>
    <t>Rio Branco/AC</t>
  </si>
  <si>
    <t>158127_900332025</t>
  </si>
  <si>
    <t>158517_900282025</t>
  </si>
  <si>
    <t>399008_900242025</t>
  </si>
  <si>
    <t>60006_72026</t>
  </si>
  <si>
    <t>927461_900152025</t>
  </si>
  <si>
    <t>980139_900022026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</si>
</sst>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83"/>
  <sheetViews>
    <sheetView tabSelected="1" workbookViewId="0">
      <selection activeCell="J1" sqref="J1"/>
    </sheetView>
  </sheetViews>
  <sheetFormatPr defaultRowHeight="14.4" x14ac:dyDescent="0.3"/>
  <cols>
    <col min="1" max="1" width="5.44140625" customWidth="1"/>
    <col min="2" max="2" width="2.5546875" hidden="1" customWidth="1"/>
    <col min="3" max="3" width="27.109375" customWidth="1"/>
    <col min="5" max="5" width="8.88671875" customWidth="1"/>
    <col min="6" max="6" width="0.21875" customWidth="1"/>
    <col min="7" max="7" width="8.88671875" hidden="1" customWidth="1"/>
  </cols>
  <sheetData>
    <row r="1" spans="1:10" x14ac:dyDescent="0.3">
      <c r="A1" s="1" t="s">
        <v>0</v>
      </c>
      <c r="B1" s="1" t="s">
        <v>1</v>
      </c>
      <c r="C1" s="1" t="s">
        <v>2</v>
      </c>
      <c r="D1" s="1" t="s">
        <v>3</v>
      </c>
      <c r="E1" s="1"/>
      <c r="F1" s="1" t="s">
        <v>4</v>
      </c>
      <c r="G1" s="1" t="s">
        <v>5</v>
      </c>
      <c r="H1" s="1" t="s">
        <v>6</v>
      </c>
      <c r="I1" s="1" t="s">
        <v>7</v>
      </c>
      <c r="J1" s="1" t="s">
        <v>8</v>
      </c>
    </row>
    <row r="2" spans="1:10" x14ac:dyDescent="0.3">
      <c r="A2" t="s">
        <v>9</v>
      </c>
      <c r="B2" t="s">
        <v>72</v>
      </c>
      <c r="C2" t="s">
        <v>148</v>
      </c>
      <c r="D2">
        <v>15</v>
      </c>
      <c r="F2">
        <v>90.69</v>
      </c>
      <c r="G2">
        <v>1360.35</v>
      </c>
      <c r="H2" t="s">
        <v>227</v>
      </c>
      <c r="I2" t="s">
        <v>228</v>
      </c>
      <c r="J2" t="s">
        <v>246</v>
      </c>
    </row>
    <row r="3" spans="1:10" x14ac:dyDescent="0.3">
      <c r="A3" t="s">
        <v>10</v>
      </c>
      <c r="B3" t="s">
        <v>73</v>
      </c>
      <c r="C3" t="s">
        <v>149</v>
      </c>
      <c r="D3">
        <v>20</v>
      </c>
      <c r="F3">
        <v>122.3</v>
      </c>
      <c r="G3">
        <v>2446</v>
      </c>
      <c r="H3" t="s">
        <v>227</v>
      </c>
      <c r="I3" t="s">
        <v>229</v>
      </c>
      <c r="J3" t="s">
        <v>246</v>
      </c>
    </row>
    <row r="4" spans="1:10" x14ac:dyDescent="0.3">
      <c r="A4" t="s">
        <v>11</v>
      </c>
      <c r="B4" t="s">
        <v>73</v>
      </c>
      <c r="C4" t="s">
        <v>150</v>
      </c>
      <c r="D4">
        <v>15</v>
      </c>
      <c r="F4">
        <v>76.239999999999995</v>
      </c>
      <c r="G4">
        <v>1143.5999999999999</v>
      </c>
      <c r="H4" t="s">
        <v>227</v>
      </c>
      <c r="I4" t="s">
        <v>228</v>
      </c>
      <c r="J4" t="s">
        <v>246</v>
      </c>
    </row>
    <row r="5" spans="1:10" x14ac:dyDescent="0.3">
      <c r="A5" t="s">
        <v>12</v>
      </c>
      <c r="B5" t="s">
        <v>74</v>
      </c>
      <c r="C5" t="s">
        <v>151</v>
      </c>
      <c r="D5">
        <v>17</v>
      </c>
      <c r="F5">
        <v>65.260000000000005</v>
      </c>
      <c r="G5">
        <v>1109.42</v>
      </c>
      <c r="H5" t="s">
        <v>227</v>
      </c>
      <c r="I5" t="s">
        <v>230</v>
      </c>
      <c r="J5" t="s">
        <v>246</v>
      </c>
    </row>
    <row r="6" spans="1:10" x14ac:dyDescent="0.3">
      <c r="A6" t="s">
        <v>13</v>
      </c>
      <c r="B6" t="s">
        <v>75</v>
      </c>
      <c r="C6" t="s">
        <v>152</v>
      </c>
      <c r="D6">
        <v>35</v>
      </c>
      <c r="F6">
        <v>48.33</v>
      </c>
      <c r="G6">
        <v>1691.55</v>
      </c>
      <c r="H6" t="s">
        <v>227</v>
      </c>
      <c r="I6" t="s">
        <v>230</v>
      </c>
      <c r="J6" t="s">
        <v>246</v>
      </c>
    </row>
    <row r="7" spans="1:10" x14ac:dyDescent="0.3">
      <c r="A7" t="s">
        <v>14</v>
      </c>
      <c r="B7" t="s">
        <v>76</v>
      </c>
      <c r="C7" t="s">
        <v>153</v>
      </c>
      <c r="D7">
        <v>9</v>
      </c>
      <c r="F7">
        <v>187.57</v>
      </c>
      <c r="G7">
        <v>1688.13</v>
      </c>
      <c r="H7" t="s">
        <v>227</v>
      </c>
      <c r="I7" t="s">
        <v>231</v>
      </c>
      <c r="J7" t="s">
        <v>246</v>
      </c>
    </row>
    <row r="8" spans="1:10" x14ac:dyDescent="0.3">
      <c r="A8" t="s">
        <v>15</v>
      </c>
      <c r="B8" t="s">
        <v>77</v>
      </c>
      <c r="C8" t="s">
        <v>154</v>
      </c>
      <c r="D8">
        <v>101</v>
      </c>
      <c r="F8">
        <v>141.49</v>
      </c>
      <c r="G8">
        <v>14290.49</v>
      </c>
      <c r="H8" t="s">
        <v>227</v>
      </c>
      <c r="I8" t="s">
        <v>232</v>
      </c>
      <c r="J8" t="s">
        <v>246</v>
      </c>
    </row>
    <row r="9" spans="1:10" x14ac:dyDescent="0.3">
      <c r="A9" t="s">
        <v>16</v>
      </c>
      <c r="B9" t="s">
        <v>78</v>
      </c>
      <c r="C9" t="s">
        <v>155</v>
      </c>
      <c r="D9">
        <v>8</v>
      </c>
      <c r="F9">
        <v>295.64</v>
      </c>
      <c r="G9">
        <v>2365.12</v>
      </c>
      <c r="H9" t="s">
        <v>227</v>
      </c>
      <c r="I9" t="s">
        <v>228</v>
      </c>
      <c r="J9" t="s">
        <v>246</v>
      </c>
    </row>
    <row r="10" spans="1:10" x14ac:dyDescent="0.3">
      <c r="A10" t="s">
        <v>17</v>
      </c>
      <c r="B10" t="s">
        <v>79</v>
      </c>
      <c r="C10" t="s">
        <v>156</v>
      </c>
      <c r="D10">
        <v>6</v>
      </c>
      <c r="F10">
        <v>1326.5</v>
      </c>
      <c r="G10">
        <v>7959</v>
      </c>
      <c r="H10" t="s">
        <v>227</v>
      </c>
      <c r="I10" t="s">
        <v>228</v>
      </c>
      <c r="J10" t="s">
        <v>246</v>
      </c>
    </row>
    <row r="11" spans="1:10" x14ac:dyDescent="0.3">
      <c r="A11" t="s">
        <v>18</v>
      </c>
      <c r="B11" t="s">
        <v>80</v>
      </c>
      <c r="C11" t="s">
        <v>157</v>
      </c>
      <c r="D11">
        <v>3</v>
      </c>
      <c r="F11">
        <v>1302.06</v>
      </c>
      <c r="G11">
        <v>3906.18</v>
      </c>
      <c r="H11" t="s">
        <v>227</v>
      </c>
      <c r="I11" t="s">
        <v>233</v>
      </c>
      <c r="J11" t="s">
        <v>246</v>
      </c>
    </row>
    <row r="12" spans="1:10" x14ac:dyDescent="0.3">
      <c r="A12" t="s">
        <v>19</v>
      </c>
      <c r="B12" t="s">
        <v>81</v>
      </c>
      <c r="C12" t="s">
        <v>158</v>
      </c>
      <c r="D12">
        <v>3</v>
      </c>
      <c r="F12">
        <v>519.13</v>
      </c>
      <c r="G12">
        <v>1557.39</v>
      </c>
      <c r="H12" t="s">
        <v>227</v>
      </c>
      <c r="I12" t="s">
        <v>228</v>
      </c>
      <c r="J12" t="s">
        <v>246</v>
      </c>
    </row>
    <row r="13" spans="1:10" x14ac:dyDescent="0.3">
      <c r="A13" t="s">
        <v>20</v>
      </c>
      <c r="B13" t="s">
        <v>82</v>
      </c>
      <c r="C13" t="s">
        <v>159</v>
      </c>
      <c r="D13">
        <v>6</v>
      </c>
      <c r="F13">
        <v>292.63</v>
      </c>
      <c r="G13">
        <v>1755.78</v>
      </c>
      <c r="H13" t="s">
        <v>227</v>
      </c>
      <c r="I13" t="s">
        <v>228</v>
      </c>
      <c r="J13" t="s">
        <v>246</v>
      </c>
    </row>
    <row r="14" spans="1:10" x14ac:dyDescent="0.3">
      <c r="A14" t="s">
        <v>21</v>
      </c>
      <c r="B14" t="s">
        <v>83</v>
      </c>
      <c r="C14" t="s">
        <v>160</v>
      </c>
      <c r="D14">
        <v>4</v>
      </c>
      <c r="F14">
        <v>1443.94</v>
      </c>
      <c r="G14">
        <v>5775.76</v>
      </c>
      <c r="H14" t="s">
        <v>227</v>
      </c>
      <c r="I14" t="s">
        <v>228</v>
      </c>
      <c r="J14" t="s">
        <v>246</v>
      </c>
    </row>
    <row r="15" spans="1:10" x14ac:dyDescent="0.3">
      <c r="A15" t="s">
        <v>22</v>
      </c>
      <c r="B15" t="s">
        <v>84</v>
      </c>
      <c r="C15" t="s">
        <v>161</v>
      </c>
      <c r="D15">
        <v>8</v>
      </c>
      <c r="F15">
        <v>1246.6300000000001</v>
      </c>
      <c r="G15">
        <v>9973.0400000000009</v>
      </c>
      <c r="H15" t="s">
        <v>227</v>
      </c>
      <c r="I15" t="s">
        <v>228</v>
      </c>
      <c r="J15" t="s">
        <v>246</v>
      </c>
    </row>
    <row r="16" spans="1:10" x14ac:dyDescent="0.3">
      <c r="A16" t="s">
        <v>23</v>
      </c>
      <c r="B16" t="s">
        <v>85</v>
      </c>
      <c r="C16" t="s">
        <v>162</v>
      </c>
      <c r="D16">
        <v>4</v>
      </c>
      <c r="F16">
        <v>1252.26</v>
      </c>
      <c r="G16">
        <v>5009.04</v>
      </c>
      <c r="H16" t="s">
        <v>227</v>
      </c>
      <c r="I16" t="s">
        <v>234</v>
      </c>
      <c r="J16" t="s">
        <v>246</v>
      </c>
    </row>
    <row r="17" spans="1:10" x14ac:dyDescent="0.3">
      <c r="A17" t="s">
        <v>24</v>
      </c>
      <c r="B17" t="s">
        <v>86</v>
      </c>
      <c r="C17" t="s">
        <v>163</v>
      </c>
      <c r="D17">
        <v>3</v>
      </c>
      <c r="F17">
        <v>1928.46</v>
      </c>
      <c r="G17">
        <v>5785.38</v>
      </c>
      <c r="H17" t="s">
        <v>227</v>
      </c>
      <c r="I17" t="s">
        <v>235</v>
      </c>
      <c r="J17" t="s">
        <v>246</v>
      </c>
    </row>
    <row r="18" spans="1:10" x14ac:dyDescent="0.3">
      <c r="A18" t="s">
        <v>25</v>
      </c>
      <c r="B18" t="s">
        <v>87</v>
      </c>
      <c r="C18" t="s">
        <v>164</v>
      </c>
      <c r="D18">
        <v>3</v>
      </c>
      <c r="F18">
        <v>2514.17</v>
      </c>
      <c r="G18">
        <v>7542.51</v>
      </c>
      <c r="H18" t="s">
        <v>227</v>
      </c>
      <c r="I18" t="s">
        <v>232</v>
      </c>
      <c r="J18" t="s">
        <v>246</v>
      </c>
    </row>
    <row r="19" spans="1:10" x14ac:dyDescent="0.3">
      <c r="A19" t="s">
        <v>26</v>
      </c>
      <c r="B19" t="s">
        <v>88</v>
      </c>
      <c r="C19" t="s">
        <v>165</v>
      </c>
      <c r="D19">
        <v>4</v>
      </c>
      <c r="F19">
        <v>5511.41</v>
      </c>
      <c r="G19">
        <v>22045.64</v>
      </c>
      <c r="H19" t="s">
        <v>227</v>
      </c>
      <c r="I19" t="s">
        <v>234</v>
      </c>
      <c r="J19" t="s">
        <v>246</v>
      </c>
    </row>
    <row r="20" spans="1:10" x14ac:dyDescent="0.3">
      <c r="A20" t="s">
        <v>27</v>
      </c>
      <c r="B20" t="s">
        <v>89</v>
      </c>
      <c r="C20" t="s">
        <v>166</v>
      </c>
      <c r="D20">
        <v>14</v>
      </c>
      <c r="F20">
        <v>127.57</v>
      </c>
      <c r="G20">
        <v>1785.98</v>
      </c>
      <c r="H20" t="s">
        <v>227</v>
      </c>
      <c r="I20" t="s">
        <v>234</v>
      </c>
      <c r="J20" t="s">
        <v>246</v>
      </c>
    </row>
    <row r="21" spans="1:10" x14ac:dyDescent="0.3">
      <c r="A21" t="s">
        <v>28</v>
      </c>
      <c r="B21" t="s">
        <v>85</v>
      </c>
      <c r="C21" t="s">
        <v>167</v>
      </c>
      <c r="D21">
        <v>73</v>
      </c>
      <c r="F21">
        <v>516.70000000000005</v>
      </c>
      <c r="G21">
        <v>37719.1</v>
      </c>
      <c r="H21" t="s">
        <v>227</v>
      </c>
      <c r="I21" t="s">
        <v>234</v>
      </c>
      <c r="J21" t="s">
        <v>246</v>
      </c>
    </row>
    <row r="22" spans="1:10" x14ac:dyDescent="0.3">
      <c r="A22" t="s">
        <v>29</v>
      </c>
      <c r="B22" t="s">
        <v>90</v>
      </c>
      <c r="C22" t="s">
        <v>168</v>
      </c>
      <c r="D22">
        <v>62</v>
      </c>
      <c r="F22">
        <v>404.18</v>
      </c>
      <c r="G22">
        <v>25059.16</v>
      </c>
      <c r="H22" t="s">
        <v>227</v>
      </c>
      <c r="I22" t="s">
        <v>235</v>
      </c>
      <c r="J22" t="s">
        <v>246</v>
      </c>
    </row>
    <row r="23" spans="1:10" x14ac:dyDescent="0.3">
      <c r="A23" t="s">
        <v>30</v>
      </c>
      <c r="B23" t="s">
        <v>88</v>
      </c>
      <c r="C23" t="s">
        <v>169</v>
      </c>
      <c r="D23">
        <v>9</v>
      </c>
      <c r="F23">
        <v>55.95</v>
      </c>
      <c r="G23">
        <v>503.55</v>
      </c>
      <c r="H23" t="s">
        <v>227</v>
      </c>
      <c r="I23" t="s">
        <v>235</v>
      </c>
      <c r="J23" t="s">
        <v>246</v>
      </c>
    </row>
    <row r="24" spans="1:10" x14ac:dyDescent="0.3">
      <c r="A24" t="s">
        <v>31</v>
      </c>
      <c r="B24" t="s">
        <v>91</v>
      </c>
      <c r="C24" t="s">
        <v>170</v>
      </c>
      <c r="D24">
        <v>17</v>
      </c>
      <c r="F24">
        <v>929.31</v>
      </c>
      <c r="G24">
        <v>15798.27</v>
      </c>
      <c r="H24" t="s">
        <v>227</v>
      </c>
      <c r="I24" t="s">
        <v>235</v>
      </c>
      <c r="J24" t="s">
        <v>246</v>
      </c>
    </row>
    <row r="25" spans="1:10" x14ac:dyDescent="0.3">
      <c r="A25" t="s">
        <v>32</v>
      </c>
      <c r="B25" t="s">
        <v>92</v>
      </c>
      <c r="C25" t="s">
        <v>171</v>
      </c>
      <c r="D25">
        <v>6</v>
      </c>
      <c r="F25">
        <v>1882.95</v>
      </c>
      <c r="G25">
        <v>11297.7</v>
      </c>
      <c r="H25" t="s">
        <v>227</v>
      </c>
      <c r="I25" t="s">
        <v>232</v>
      </c>
      <c r="J25" t="s">
        <v>246</v>
      </c>
    </row>
    <row r="26" spans="1:10" x14ac:dyDescent="0.3">
      <c r="A26" t="s">
        <v>33</v>
      </c>
      <c r="B26" t="s">
        <v>93</v>
      </c>
      <c r="C26" t="s">
        <v>172</v>
      </c>
      <c r="D26">
        <v>76</v>
      </c>
      <c r="F26">
        <v>94.86</v>
      </c>
      <c r="G26">
        <v>7209.36</v>
      </c>
      <c r="H26" t="s">
        <v>227</v>
      </c>
      <c r="I26" t="s">
        <v>235</v>
      </c>
      <c r="J26" t="s">
        <v>246</v>
      </c>
    </row>
    <row r="27" spans="1:10" x14ac:dyDescent="0.3">
      <c r="A27" t="s">
        <v>34</v>
      </c>
      <c r="B27" t="s">
        <v>94</v>
      </c>
      <c r="C27" t="s">
        <v>173</v>
      </c>
      <c r="D27">
        <v>64</v>
      </c>
      <c r="F27">
        <v>5744.59</v>
      </c>
      <c r="G27">
        <v>367653.76</v>
      </c>
      <c r="H27" t="s">
        <v>227</v>
      </c>
      <c r="I27" t="s">
        <v>234</v>
      </c>
      <c r="J27" t="s">
        <v>246</v>
      </c>
    </row>
    <row r="28" spans="1:10" x14ac:dyDescent="0.3">
      <c r="A28" t="s">
        <v>35</v>
      </c>
      <c r="B28" t="s">
        <v>95</v>
      </c>
      <c r="C28" t="s">
        <v>174</v>
      </c>
      <c r="D28">
        <v>2</v>
      </c>
      <c r="F28">
        <v>2507.9499999999998</v>
      </c>
      <c r="G28">
        <v>5015.8999999999996</v>
      </c>
      <c r="H28" t="s">
        <v>227</v>
      </c>
      <c r="I28" t="s">
        <v>234</v>
      </c>
      <c r="J28" t="s">
        <v>246</v>
      </c>
    </row>
    <row r="29" spans="1:10" x14ac:dyDescent="0.3">
      <c r="A29" t="s">
        <v>36</v>
      </c>
      <c r="B29" t="s">
        <v>95</v>
      </c>
      <c r="C29" t="s">
        <v>175</v>
      </c>
      <c r="D29">
        <v>3</v>
      </c>
      <c r="F29">
        <v>3594.51</v>
      </c>
      <c r="G29">
        <v>10783.53</v>
      </c>
      <c r="H29" t="s">
        <v>227</v>
      </c>
      <c r="I29" t="s">
        <v>234</v>
      </c>
      <c r="J29" t="s">
        <v>246</v>
      </c>
    </row>
    <row r="30" spans="1:10" x14ac:dyDescent="0.3">
      <c r="A30" t="s">
        <v>37</v>
      </c>
      <c r="B30" t="s">
        <v>96</v>
      </c>
      <c r="C30" t="s">
        <v>176</v>
      </c>
      <c r="D30">
        <v>18</v>
      </c>
      <c r="F30">
        <v>372.49</v>
      </c>
      <c r="G30">
        <v>6704.82</v>
      </c>
      <c r="H30" t="s">
        <v>227</v>
      </c>
      <c r="I30" t="s">
        <v>235</v>
      </c>
      <c r="J30" t="s">
        <v>246</v>
      </c>
    </row>
    <row r="31" spans="1:10" x14ac:dyDescent="0.3">
      <c r="A31" t="s">
        <v>38</v>
      </c>
      <c r="B31" t="s">
        <v>97</v>
      </c>
      <c r="C31" t="s">
        <v>177</v>
      </c>
      <c r="D31">
        <v>22</v>
      </c>
      <c r="F31">
        <v>364.56</v>
      </c>
      <c r="G31">
        <v>8020.32</v>
      </c>
      <c r="H31" t="s">
        <v>227</v>
      </c>
      <c r="I31" t="s">
        <v>235</v>
      </c>
      <c r="J31" t="s">
        <v>246</v>
      </c>
    </row>
    <row r="32" spans="1:10" x14ac:dyDescent="0.3">
      <c r="A32" t="s">
        <v>39</v>
      </c>
      <c r="B32" t="s">
        <v>98</v>
      </c>
      <c r="C32" t="s">
        <v>178</v>
      </c>
      <c r="D32">
        <v>32</v>
      </c>
      <c r="F32">
        <v>523.88</v>
      </c>
      <c r="G32">
        <v>16764.16</v>
      </c>
      <c r="H32" t="s">
        <v>227</v>
      </c>
      <c r="I32" t="s">
        <v>235</v>
      </c>
      <c r="J32" t="s">
        <v>246</v>
      </c>
    </row>
    <row r="33" spans="1:10" x14ac:dyDescent="0.3">
      <c r="A33" t="s">
        <v>40</v>
      </c>
      <c r="B33" t="s">
        <v>99</v>
      </c>
      <c r="C33" t="s">
        <v>179</v>
      </c>
      <c r="D33">
        <v>13</v>
      </c>
      <c r="F33">
        <v>338.92</v>
      </c>
      <c r="G33">
        <v>4405.96</v>
      </c>
      <c r="H33" t="s">
        <v>227</v>
      </c>
      <c r="I33" t="s">
        <v>234</v>
      </c>
      <c r="J33" t="s">
        <v>246</v>
      </c>
    </row>
    <row r="34" spans="1:10" x14ac:dyDescent="0.3">
      <c r="A34" t="s">
        <v>41</v>
      </c>
      <c r="B34" t="s">
        <v>100</v>
      </c>
      <c r="C34" t="s">
        <v>180</v>
      </c>
      <c r="D34">
        <v>112</v>
      </c>
      <c r="F34">
        <v>725.81</v>
      </c>
      <c r="G34">
        <v>81290.720000000001</v>
      </c>
      <c r="H34" t="s">
        <v>227</v>
      </c>
      <c r="I34" t="s">
        <v>234</v>
      </c>
      <c r="J34" t="s">
        <v>246</v>
      </c>
    </row>
    <row r="35" spans="1:10" x14ac:dyDescent="0.3">
      <c r="A35" t="s">
        <v>42</v>
      </c>
      <c r="B35" t="s">
        <v>101</v>
      </c>
      <c r="C35" t="s">
        <v>181</v>
      </c>
      <c r="D35">
        <v>2</v>
      </c>
      <c r="F35">
        <v>213.17</v>
      </c>
      <c r="G35">
        <v>426.34</v>
      </c>
      <c r="H35" t="s">
        <v>227</v>
      </c>
      <c r="I35" t="s">
        <v>236</v>
      </c>
      <c r="J35" t="s">
        <v>246</v>
      </c>
    </row>
    <row r="36" spans="1:10" x14ac:dyDescent="0.3">
      <c r="A36" t="s">
        <v>43</v>
      </c>
      <c r="B36" t="s">
        <v>102</v>
      </c>
      <c r="C36" t="s">
        <v>182</v>
      </c>
      <c r="D36">
        <v>2</v>
      </c>
      <c r="F36">
        <v>13198.8</v>
      </c>
      <c r="G36">
        <v>26397.599999999999</v>
      </c>
      <c r="H36" t="s">
        <v>227</v>
      </c>
      <c r="I36" t="s">
        <v>228</v>
      </c>
      <c r="J36" t="s">
        <v>246</v>
      </c>
    </row>
    <row r="37" spans="1:10" x14ac:dyDescent="0.3">
      <c r="A37" t="s">
        <v>44</v>
      </c>
      <c r="B37" t="s">
        <v>103</v>
      </c>
      <c r="C37" t="s">
        <v>183</v>
      </c>
      <c r="D37">
        <v>54</v>
      </c>
      <c r="F37">
        <v>8768.0400000000009</v>
      </c>
      <c r="G37">
        <v>473474.16</v>
      </c>
      <c r="H37" t="s">
        <v>227</v>
      </c>
      <c r="I37" t="s">
        <v>237</v>
      </c>
      <c r="J37" t="s">
        <v>246</v>
      </c>
    </row>
    <row r="38" spans="1:10" x14ac:dyDescent="0.3">
      <c r="A38" t="s">
        <v>45</v>
      </c>
      <c r="B38" t="s">
        <v>104</v>
      </c>
      <c r="C38" t="s">
        <v>184</v>
      </c>
      <c r="D38">
        <v>5</v>
      </c>
      <c r="F38">
        <v>11617.77</v>
      </c>
      <c r="G38">
        <v>58088.85</v>
      </c>
      <c r="H38" t="s">
        <v>227</v>
      </c>
      <c r="I38" t="s">
        <v>229</v>
      </c>
      <c r="J38" t="s">
        <v>246</v>
      </c>
    </row>
    <row r="39" spans="1:10" x14ac:dyDescent="0.3">
      <c r="A39" t="s">
        <v>46</v>
      </c>
      <c r="B39" t="s">
        <v>105</v>
      </c>
      <c r="C39" t="s">
        <v>185</v>
      </c>
      <c r="D39">
        <v>6</v>
      </c>
      <c r="F39">
        <v>509.85</v>
      </c>
      <c r="G39">
        <v>3059.1</v>
      </c>
      <c r="H39" t="s">
        <v>227</v>
      </c>
      <c r="I39" t="s">
        <v>228</v>
      </c>
      <c r="J39" t="s">
        <v>246</v>
      </c>
    </row>
    <row r="40" spans="1:10" x14ac:dyDescent="0.3">
      <c r="A40" t="s">
        <v>47</v>
      </c>
      <c r="B40" t="s">
        <v>106</v>
      </c>
      <c r="C40" t="s">
        <v>186</v>
      </c>
      <c r="D40">
        <v>4</v>
      </c>
      <c r="F40">
        <v>1080.8599999999999</v>
      </c>
      <c r="G40">
        <v>4323.4399999999996</v>
      </c>
      <c r="H40" t="s">
        <v>227</v>
      </c>
      <c r="I40" t="s">
        <v>228</v>
      </c>
      <c r="J40" t="s">
        <v>246</v>
      </c>
    </row>
    <row r="41" spans="1:10" x14ac:dyDescent="0.3">
      <c r="A41" t="s">
        <v>48</v>
      </c>
      <c r="B41" t="s">
        <v>107</v>
      </c>
      <c r="C41" t="s">
        <v>187</v>
      </c>
      <c r="D41">
        <v>6</v>
      </c>
      <c r="F41">
        <v>4785.32</v>
      </c>
      <c r="G41">
        <v>28711.919999999998</v>
      </c>
      <c r="H41" t="s">
        <v>227</v>
      </c>
      <c r="I41" t="s">
        <v>234</v>
      </c>
      <c r="J41" t="s">
        <v>246</v>
      </c>
    </row>
    <row r="42" spans="1:10" hidden="1" x14ac:dyDescent="0.3">
      <c r="A42" t="s">
        <v>49</v>
      </c>
      <c r="B42" t="s">
        <v>108</v>
      </c>
      <c r="C42" t="s">
        <v>188</v>
      </c>
      <c r="D42">
        <v>4</v>
      </c>
      <c r="F42">
        <v>2765.67</v>
      </c>
      <c r="G42">
        <v>11062.68</v>
      </c>
      <c r="H42" t="s">
        <v>227</v>
      </c>
      <c r="I42" t="s">
        <v>238</v>
      </c>
      <c r="J42" t="s">
        <v>247</v>
      </c>
    </row>
    <row r="43" spans="1:10" hidden="1" x14ac:dyDescent="0.3">
      <c r="A43" t="s">
        <v>50</v>
      </c>
      <c r="B43" t="s">
        <v>109</v>
      </c>
      <c r="C43" t="s">
        <v>189</v>
      </c>
      <c r="D43">
        <v>1</v>
      </c>
      <c r="F43">
        <v>2112.1999999999998</v>
      </c>
      <c r="G43">
        <v>2112.1999999999998</v>
      </c>
      <c r="H43" t="s">
        <v>227</v>
      </c>
      <c r="I43" t="s">
        <v>239</v>
      </c>
      <c r="J43" t="s">
        <v>247</v>
      </c>
    </row>
    <row r="44" spans="1:10" hidden="1" x14ac:dyDescent="0.3">
      <c r="A44" t="s">
        <v>51</v>
      </c>
      <c r="B44" t="s">
        <v>110</v>
      </c>
      <c r="C44" t="s">
        <v>190</v>
      </c>
      <c r="D44">
        <v>1</v>
      </c>
      <c r="F44">
        <v>582.24</v>
      </c>
      <c r="G44">
        <v>582.24</v>
      </c>
      <c r="H44" t="s">
        <v>227</v>
      </c>
      <c r="I44" t="s">
        <v>239</v>
      </c>
      <c r="J44" t="s">
        <v>247</v>
      </c>
    </row>
    <row r="45" spans="1:10" hidden="1" x14ac:dyDescent="0.3">
      <c r="A45" t="s">
        <v>52</v>
      </c>
      <c r="B45" t="s">
        <v>111</v>
      </c>
      <c r="C45" t="s">
        <v>191</v>
      </c>
      <c r="D45">
        <v>1</v>
      </c>
      <c r="F45">
        <v>1792.09</v>
      </c>
      <c r="G45">
        <v>1792.09</v>
      </c>
      <c r="H45" t="s">
        <v>227</v>
      </c>
      <c r="I45" t="s">
        <v>240</v>
      </c>
      <c r="J45" t="s">
        <v>247</v>
      </c>
    </row>
    <row r="46" spans="1:10" hidden="1" x14ac:dyDescent="0.3">
      <c r="A46" t="s">
        <v>53</v>
      </c>
      <c r="B46" t="s">
        <v>112</v>
      </c>
      <c r="C46" t="s">
        <v>192</v>
      </c>
      <c r="D46">
        <v>50</v>
      </c>
      <c r="F46">
        <v>13.08</v>
      </c>
      <c r="G46">
        <v>654</v>
      </c>
      <c r="H46" t="s">
        <v>227</v>
      </c>
      <c r="I46" t="s">
        <v>239</v>
      </c>
      <c r="J46" t="s">
        <v>247</v>
      </c>
    </row>
    <row r="47" spans="1:10" hidden="1" x14ac:dyDescent="0.3">
      <c r="A47" t="s">
        <v>11</v>
      </c>
      <c r="B47" t="s">
        <v>113</v>
      </c>
      <c r="C47" t="s">
        <v>193</v>
      </c>
      <c r="D47">
        <v>1</v>
      </c>
      <c r="F47">
        <v>2714.23</v>
      </c>
      <c r="G47">
        <v>2714.23</v>
      </c>
      <c r="H47" t="s">
        <v>227</v>
      </c>
      <c r="I47" t="s">
        <v>239</v>
      </c>
      <c r="J47" t="s">
        <v>247</v>
      </c>
    </row>
    <row r="48" spans="1:10" hidden="1" x14ac:dyDescent="0.3">
      <c r="A48" t="s">
        <v>12</v>
      </c>
      <c r="B48" t="s">
        <v>114</v>
      </c>
      <c r="C48" t="s">
        <v>194</v>
      </c>
      <c r="D48">
        <v>8</v>
      </c>
      <c r="F48">
        <v>506.37</v>
      </c>
      <c r="G48">
        <v>4050.96</v>
      </c>
      <c r="H48" t="s">
        <v>227</v>
      </c>
      <c r="I48" t="s">
        <v>238</v>
      </c>
      <c r="J48" t="s">
        <v>247</v>
      </c>
    </row>
    <row r="49" spans="1:10" hidden="1" x14ac:dyDescent="0.3">
      <c r="A49" t="s">
        <v>13</v>
      </c>
      <c r="B49" t="s">
        <v>115</v>
      </c>
      <c r="C49" t="s">
        <v>195</v>
      </c>
      <c r="D49">
        <v>2</v>
      </c>
      <c r="F49">
        <v>309.62</v>
      </c>
      <c r="G49">
        <v>619.24</v>
      </c>
      <c r="H49" t="s">
        <v>227</v>
      </c>
      <c r="I49" t="s">
        <v>238</v>
      </c>
      <c r="J49" t="s">
        <v>247</v>
      </c>
    </row>
    <row r="50" spans="1:10" hidden="1" x14ac:dyDescent="0.3">
      <c r="A50" t="s">
        <v>54</v>
      </c>
      <c r="B50" t="s">
        <v>116</v>
      </c>
      <c r="C50" t="s">
        <v>196</v>
      </c>
      <c r="D50">
        <v>2</v>
      </c>
      <c r="F50">
        <v>460.34</v>
      </c>
      <c r="G50">
        <v>920.68</v>
      </c>
      <c r="H50" t="s">
        <v>227</v>
      </c>
      <c r="I50" t="s">
        <v>241</v>
      </c>
      <c r="J50" t="s">
        <v>247</v>
      </c>
    </row>
    <row r="51" spans="1:10" hidden="1" x14ac:dyDescent="0.3">
      <c r="A51" t="s">
        <v>55</v>
      </c>
      <c r="B51" t="s">
        <v>117</v>
      </c>
      <c r="C51" t="s">
        <v>197</v>
      </c>
      <c r="D51">
        <v>1</v>
      </c>
      <c r="F51">
        <v>609.04999999999995</v>
      </c>
      <c r="G51">
        <v>609.04999999999995</v>
      </c>
      <c r="H51" t="s">
        <v>227</v>
      </c>
      <c r="I51" t="s">
        <v>238</v>
      </c>
      <c r="J51" t="s">
        <v>247</v>
      </c>
    </row>
    <row r="52" spans="1:10" hidden="1" x14ac:dyDescent="0.3">
      <c r="A52" t="s">
        <v>16</v>
      </c>
      <c r="B52" t="s">
        <v>118</v>
      </c>
      <c r="C52" t="s">
        <v>198</v>
      </c>
      <c r="D52">
        <v>1</v>
      </c>
      <c r="F52">
        <v>5530</v>
      </c>
      <c r="G52">
        <v>5530</v>
      </c>
      <c r="H52" t="s">
        <v>227</v>
      </c>
      <c r="I52" t="s">
        <v>242</v>
      </c>
      <c r="J52" t="s">
        <v>247</v>
      </c>
    </row>
    <row r="53" spans="1:10" hidden="1" x14ac:dyDescent="0.3">
      <c r="A53" t="s">
        <v>56</v>
      </c>
      <c r="B53" t="s">
        <v>119</v>
      </c>
      <c r="C53" t="s">
        <v>199</v>
      </c>
      <c r="D53">
        <v>7</v>
      </c>
      <c r="F53">
        <v>1518.84</v>
      </c>
      <c r="G53">
        <v>10631.88</v>
      </c>
      <c r="H53" t="s">
        <v>227</v>
      </c>
      <c r="I53" t="s">
        <v>242</v>
      </c>
      <c r="J53" t="s">
        <v>247</v>
      </c>
    </row>
    <row r="54" spans="1:10" hidden="1" x14ac:dyDescent="0.3">
      <c r="A54" t="s">
        <v>57</v>
      </c>
      <c r="B54" t="s">
        <v>120</v>
      </c>
      <c r="C54" t="s">
        <v>200</v>
      </c>
      <c r="D54">
        <v>1</v>
      </c>
      <c r="F54">
        <v>1800</v>
      </c>
      <c r="G54">
        <v>1800</v>
      </c>
      <c r="H54" t="s">
        <v>227</v>
      </c>
      <c r="I54" t="s">
        <v>240</v>
      </c>
      <c r="J54" t="s">
        <v>247</v>
      </c>
    </row>
    <row r="55" spans="1:10" hidden="1" x14ac:dyDescent="0.3">
      <c r="A55" t="s">
        <v>58</v>
      </c>
      <c r="B55" t="s">
        <v>121</v>
      </c>
      <c r="C55" t="s">
        <v>201</v>
      </c>
      <c r="D55">
        <v>5</v>
      </c>
      <c r="F55">
        <v>2018.72</v>
      </c>
      <c r="G55">
        <v>10093.6</v>
      </c>
      <c r="H55" t="s">
        <v>227</v>
      </c>
      <c r="I55" t="s">
        <v>239</v>
      </c>
      <c r="J55" t="s">
        <v>247</v>
      </c>
    </row>
    <row r="56" spans="1:10" hidden="1" x14ac:dyDescent="0.3">
      <c r="A56" t="s">
        <v>59</v>
      </c>
      <c r="B56" t="s">
        <v>122</v>
      </c>
      <c r="C56" t="s">
        <v>202</v>
      </c>
      <c r="D56">
        <v>2</v>
      </c>
      <c r="F56">
        <v>1393.47</v>
      </c>
      <c r="G56">
        <v>2786.94</v>
      </c>
      <c r="H56" t="s">
        <v>227</v>
      </c>
      <c r="I56" t="s">
        <v>239</v>
      </c>
      <c r="J56" t="s">
        <v>247</v>
      </c>
    </row>
    <row r="57" spans="1:10" hidden="1" x14ac:dyDescent="0.3">
      <c r="A57" t="s">
        <v>60</v>
      </c>
      <c r="B57" t="s">
        <v>123</v>
      </c>
      <c r="C57" t="s">
        <v>203</v>
      </c>
      <c r="D57">
        <v>10</v>
      </c>
      <c r="F57">
        <v>288.74</v>
      </c>
      <c r="G57">
        <v>2887.4</v>
      </c>
      <c r="H57" t="s">
        <v>227</v>
      </c>
      <c r="I57" t="s">
        <v>238</v>
      </c>
      <c r="J57" t="s">
        <v>247</v>
      </c>
    </row>
    <row r="58" spans="1:10" hidden="1" x14ac:dyDescent="0.3">
      <c r="A58" t="s">
        <v>18</v>
      </c>
      <c r="B58" t="s">
        <v>124</v>
      </c>
      <c r="C58" t="s">
        <v>204</v>
      </c>
      <c r="D58">
        <v>1</v>
      </c>
      <c r="F58">
        <v>1368.62</v>
      </c>
      <c r="G58">
        <v>1368.62</v>
      </c>
      <c r="H58" t="s">
        <v>227</v>
      </c>
      <c r="I58" t="s">
        <v>239</v>
      </c>
      <c r="J58" t="s">
        <v>247</v>
      </c>
    </row>
    <row r="59" spans="1:10" hidden="1" x14ac:dyDescent="0.3">
      <c r="A59" t="s">
        <v>61</v>
      </c>
      <c r="B59" t="s">
        <v>125</v>
      </c>
      <c r="C59" t="s">
        <v>205</v>
      </c>
      <c r="D59">
        <v>8</v>
      </c>
      <c r="F59">
        <v>956</v>
      </c>
      <c r="G59">
        <v>7648</v>
      </c>
      <c r="H59" t="s">
        <v>227</v>
      </c>
      <c r="I59" t="s">
        <v>238</v>
      </c>
      <c r="J59" t="s">
        <v>247</v>
      </c>
    </row>
    <row r="60" spans="1:10" hidden="1" x14ac:dyDescent="0.3">
      <c r="A60" t="s">
        <v>62</v>
      </c>
      <c r="B60" t="s">
        <v>126</v>
      </c>
      <c r="C60" t="s">
        <v>206</v>
      </c>
      <c r="D60">
        <v>6</v>
      </c>
      <c r="F60">
        <v>3916.42</v>
      </c>
      <c r="G60">
        <v>23498.52</v>
      </c>
      <c r="H60" t="s">
        <v>227</v>
      </c>
      <c r="I60" t="s">
        <v>239</v>
      </c>
      <c r="J60" t="s">
        <v>247</v>
      </c>
    </row>
    <row r="61" spans="1:10" hidden="1" x14ac:dyDescent="0.3">
      <c r="A61" t="s">
        <v>63</v>
      </c>
      <c r="B61" t="s">
        <v>127</v>
      </c>
      <c r="C61" t="s">
        <v>207</v>
      </c>
      <c r="D61">
        <v>1</v>
      </c>
      <c r="F61">
        <v>2534.7199999999998</v>
      </c>
      <c r="G61">
        <v>2534.7199999999998</v>
      </c>
      <c r="H61" t="s">
        <v>227</v>
      </c>
      <c r="I61" t="s">
        <v>242</v>
      </c>
      <c r="J61" t="s">
        <v>247</v>
      </c>
    </row>
    <row r="62" spans="1:10" hidden="1" x14ac:dyDescent="0.3">
      <c r="A62" t="s">
        <v>23</v>
      </c>
      <c r="B62" t="s">
        <v>128</v>
      </c>
      <c r="C62" t="s">
        <v>208</v>
      </c>
      <c r="D62">
        <v>15</v>
      </c>
      <c r="F62">
        <v>239.47</v>
      </c>
      <c r="G62">
        <v>3592.05</v>
      </c>
      <c r="H62" t="s">
        <v>227</v>
      </c>
      <c r="I62" t="s">
        <v>238</v>
      </c>
      <c r="J62" t="s">
        <v>247</v>
      </c>
    </row>
    <row r="63" spans="1:10" hidden="1" x14ac:dyDescent="0.3">
      <c r="A63" t="s">
        <v>24</v>
      </c>
      <c r="B63" t="s">
        <v>129</v>
      </c>
      <c r="C63" t="s">
        <v>209</v>
      </c>
      <c r="D63">
        <v>1</v>
      </c>
      <c r="F63">
        <v>1036.21</v>
      </c>
      <c r="G63">
        <v>1036.21</v>
      </c>
      <c r="H63" t="s">
        <v>227</v>
      </c>
      <c r="I63" t="s">
        <v>239</v>
      </c>
      <c r="J63" t="s">
        <v>247</v>
      </c>
    </row>
    <row r="64" spans="1:10" hidden="1" x14ac:dyDescent="0.3">
      <c r="A64" t="s">
        <v>25</v>
      </c>
      <c r="B64" t="s">
        <v>130</v>
      </c>
      <c r="C64" t="s">
        <v>210</v>
      </c>
      <c r="D64">
        <v>2</v>
      </c>
      <c r="F64">
        <v>379.54</v>
      </c>
      <c r="G64">
        <v>759.08</v>
      </c>
      <c r="H64" t="s">
        <v>227</v>
      </c>
      <c r="I64" t="s">
        <v>238</v>
      </c>
      <c r="J64" t="s">
        <v>247</v>
      </c>
    </row>
    <row r="65" spans="1:10" hidden="1" x14ac:dyDescent="0.3">
      <c r="A65" t="s">
        <v>49</v>
      </c>
      <c r="B65" t="s">
        <v>131</v>
      </c>
      <c r="C65" t="s">
        <v>211</v>
      </c>
      <c r="D65">
        <v>80</v>
      </c>
      <c r="H65" t="s">
        <v>227</v>
      </c>
      <c r="I65" t="s">
        <v>243</v>
      </c>
      <c r="J65" t="s">
        <v>248</v>
      </c>
    </row>
    <row r="66" spans="1:10" hidden="1" x14ac:dyDescent="0.3">
      <c r="A66" t="s">
        <v>54</v>
      </c>
      <c r="B66" t="s">
        <v>132</v>
      </c>
      <c r="C66" t="s">
        <v>212</v>
      </c>
      <c r="D66">
        <v>5</v>
      </c>
      <c r="H66" t="s">
        <v>227</v>
      </c>
      <c r="I66" t="s">
        <v>243</v>
      </c>
      <c r="J66" t="s">
        <v>248</v>
      </c>
    </row>
    <row r="67" spans="1:10" hidden="1" x14ac:dyDescent="0.3">
      <c r="A67" t="s">
        <v>55</v>
      </c>
      <c r="B67" t="s">
        <v>133</v>
      </c>
      <c r="C67" t="s">
        <v>213</v>
      </c>
      <c r="D67">
        <v>1</v>
      </c>
      <c r="H67" t="s">
        <v>227</v>
      </c>
      <c r="I67" t="s">
        <v>243</v>
      </c>
      <c r="J67" t="s">
        <v>248</v>
      </c>
    </row>
    <row r="68" spans="1:10" hidden="1" x14ac:dyDescent="0.3">
      <c r="A68" t="s">
        <v>64</v>
      </c>
      <c r="B68" t="s">
        <v>134</v>
      </c>
      <c r="C68" t="s">
        <v>214</v>
      </c>
      <c r="D68">
        <v>1</v>
      </c>
      <c r="H68" t="s">
        <v>227</v>
      </c>
      <c r="I68" t="s">
        <v>243</v>
      </c>
      <c r="J68" t="s">
        <v>248</v>
      </c>
    </row>
    <row r="69" spans="1:10" hidden="1" x14ac:dyDescent="0.3">
      <c r="A69" t="s">
        <v>16</v>
      </c>
      <c r="B69" t="s">
        <v>132</v>
      </c>
      <c r="C69" t="s">
        <v>215</v>
      </c>
      <c r="D69">
        <v>1</v>
      </c>
      <c r="H69" t="s">
        <v>227</v>
      </c>
      <c r="I69" t="s">
        <v>243</v>
      </c>
      <c r="J69" t="s">
        <v>248</v>
      </c>
    </row>
    <row r="70" spans="1:10" hidden="1" x14ac:dyDescent="0.3">
      <c r="A70" t="s">
        <v>56</v>
      </c>
      <c r="B70" t="s">
        <v>135</v>
      </c>
      <c r="C70" t="s">
        <v>216</v>
      </c>
      <c r="D70">
        <v>1</v>
      </c>
      <c r="H70" t="s">
        <v>227</v>
      </c>
      <c r="I70" t="s">
        <v>243</v>
      </c>
      <c r="J70" t="s">
        <v>248</v>
      </c>
    </row>
    <row r="71" spans="1:10" hidden="1" x14ac:dyDescent="0.3">
      <c r="A71" t="s">
        <v>65</v>
      </c>
      <c r="B71" t="s">
        <v>136</v>
      </c>
      <c r="D71">
        <v>1</v>
      </c>
      <c r="F71">
        <v>2328</v>
      </c>
      <c r="J71" t="s">
        <v>249</v>
      </c>
    </row>
    <row r="72" spans="1:10" hidden="1" x14ac:dyDescent="0.3">
      <c r="A72" t="s">
        <v>66</v>
      </c>
      <c r="B72" t="s">
        <v>137</v>
      </c>
      <c r="C72" t="s">
        <v>137</v>
      </c>
      <c r="D72">
        <v>1</v>
      </c>
      <c r="F72">
        <v>630</v>
      </c>
      <c r="J72" t="s">
        <v>249</v>
      </c>
    </row>
    <row r="73" spans="1:10" hidden="1" x14ac:dyDescent="0.3">
      <c r="A73" t="s">
        <v>67</v>
      </c>
      <c r="B73" t="s">
        <v>138</v>
      </c>
      <c r="C73" t="s">
        <v>138</v>
      </c>
      <c r="D73">
        <v>4</v>
      </c>
      <c r="F73">
        <v>593</v>
      </c>
      <c r="J73" t="s">
        <v>249</v>
      </c>
    </row>
    <row r="74" spans="1:10" hidden="1" x14ac:dyDescent="0.3">
      <c r="A74" t="s">
        <v>49</v>
      </c>
      <c r="B74" t="s">
        <v>139</v>
      </c>
      <c r="C74" t="s">
        <v>217</v>
      </c>
      <c r="D74">
        <v>5</v>
      </c>
      <c r="F74">
        <v>4513.84</v>
      </c>
      <c r="G74">
        <v>22569.200000000001</v>
      </c>
      <c r="H74" t="s">
        <v>227</v>
      </c>
      <c r="I74" t="s">
        <v>244</v>
      </c>
      <c r="J74" t="s">
        <v>250</v>
      </c>
    </row>
    <row r="75" spans="1:10" hidden="1" x14ac:dyDescent="0.3">
      <c r="A75" t="s">
        <v>65</v>
      </c>
      <c r="B75" t="s">
        <v>140</v>
      </c>
      <c r="C75" t="s">
        <v>218</v>
      </c>
      <c r="D75">
        <v>2</v>
      </c>
      <c r="E75">
        <f>F75*0.67</f>
        <v>1906.7396000000001</v>
      </c>
      <c r="F75">
        <v>2845.88</v>
      </c>
      <c r="G75">
        <v>5691.76</v>
      </c>
      <c r="H75" t="s">
        <v>227</v>
      </c>
      <c r="I75" t="s">
        <v>245</v>
      </c>
      <c r="J75" t="s">
        <v>251</v>
      </c>
    </row>
    <row r="76" spans="1:10" hidden="1" x14ac:dyDescent="0.3">
      <c r="A76" t="s">
        <v>66</v>
      </c>
      <c r="B76" t="s">
        <v>132</v>
      </c>
      <c r="C76" t="s">
        <v>219</v>
      </c>
      <c r="D76">
        <v>4</v>
      </c>
      <c r="E76">
        <f t="shared" ref="E76:E83" si="0">F76*0.67</f>
        <v>3051.4145000000003</v>
      </c>
      <c r="F76">
        <v>4554.3500000000004</v>
      </c>
      <c r="G76">
        <v>18217.400000000001</v>
      </c>
      <c r="H76" t="s">
        <v>227</v>
      </c>
      <c r="I76" t="s">
        <v>245</v>
      </c>
      <c r="J76" t="s">
        <v>251</v>
      </c>
    </row>
    <row r="77" spans="1:10" hidden="1" x14ac:dyDescent="0.3">
      <c r="A77" t="s">
        <v>67</v>
      </c>
      <c r="B77" t="s">
        <v>141</v>
      </c>
      <c r="C77" t="s">
        <v>220</v>
      </c>
      <c r="D77">
        <v>2</v>
      </c>
      <c r="E77">
        <f t="shared" si="0"/>
        <v>2198.6586000000002</v>
      </c>
      <c r="F77">
        <v>3281.58</v>
      </c>
      <c r="G77">
        <v>6563.16</v>
      </c>
      <c r="H77" t="s">
        <v>227</v>
      </c>
      <c r="I77" t="s">
        <v>245</v>
      </c>
      <c r="J77" t="s">
        <v>251</v>
      </c>
    </row>
    <row r="78" spans="1:10" hidden="1" x14ac:dyDescent="0.3">
      <c r="A78" t="s">
        <v>50</v>
      </c>
      <c r="B78" t="s">
        <v>142</v>
      </c>
      <c r="C78" t="s">
        <v>221</v>
      </c>
      <c r="D78">
        <v>2</v>
      </c>
      <c r="E78">
        <f t="shared" si="0"/>
        <v>2300.0898999999999</v>
      </c>
      <c r="F78">
        <v>3432.97</v>
      </c>
      <c r="G78">
        <v>6865.94</v>
      </c>
      <c r="H78" t="s">
        <v>227</v>
      </c>
      <c r="I78" t="s">
        <v>245</v>
      </c>
      <c r="J78" t="s">
        <v>251</v>
      </c>
    </row>
    <row r="79" spans="1:10" hidden="1" x14ac:dyDescent="0.3">
      <c r="A79" t="s">
        <v>68</v>
      </c>
      <c r="B79" t="s">
        <v>143</v>
      </c>
      <c r="C79" t="s">
        <v>222</v>
      </c>
      <c r="D79">
        <v>10</v>
      </c>
      <c r="E79">
        <f t="shared" si="0"/>
        <v>787.18970000000013</v>
      </c>
      <c r="F79">
        <v>1174.9100000000001</v>
      </c>
      <c r="G79">
        <v>11749.1</v>
      </c>
      <c r="H79" t="s">
        <v>227</v>
      </c>
      <c r="I79" t="s">
        <v>245</v>
      </c>
      <c r="J79" t="s">
        <v>251</v>
      </c>
    </row>
    <row r="80" spans="1:10" hidden="1" x14ac:dyDescent="0.3">
      <c r="A80" t="s">
        <v>69</v>
      </c>
      <c r="B80" t="s">
        <v>144</v>
      </c>
      <c r="C80" t="s">
        <v>223</v>
      </c>
      <c r="D80">
        <v>4</v>
      </c>
      <c r="E80">
        <f t="shared" si="0"/>
        <v>1111.4831000000001</v>
      </c>
      <c r="F80">
        <v>1658.93</v>
      </c>
      <c r="G80">
        <v>6635.72</v>
      </c>
      <c r="H80" t="s">
        <v>227</v>
      </c>
      <c r="I80" t="s">
        <v>245</v>
      </c>
      <c r="J80" t="s">
        <v>251</v>
      </c>
    </row>
    <row r="81" spans="1:10" hidden="1" x14ac:dyDescent="0.3">
      <c r="A81" t="s">
        <v>70</v>
      </c>
      <c r="B81" t="s">
        <v>145</v>
      </c>
      <c r="C81" t="s">
        <v>224</v>
      </c>
      <c r="D81">
        <v>4</v>
      </c>
      <c r="E81">
        <f t="shared" si="0"/>
        <v>1489.9326000000003</v>
      </c>
      <c r="F81">
        <v>2223.7800000000002</v>
      </c>
      <c r="G81">
        <v>8895.1200000000008</v>
      </c>
      <c r="H81" t="s">
        <v>227</v>
      </c>
      <c r="I81" t="s">
        <v>245</v>
      </c>
      <c r="J81" t="s">
        <v>251</v>
      </c>
    </row>
    <row r="82" spans="1:10" hidden="1" x14ac:dyDescent="0.3">
      <c r="A82" t="s">
        <v>51</v>
      </c>
      <c r="B82" t="s">
        <v>146</v>
      </c>
      <c r="C82" t="s">
        <v>225</v>
      </c>
      <c r="D82">
        <v>2</v>
      </c>
      <c r="E82">
        <f t="shared" si="0"/>
        <v>1686.0282000000002</v>
      </c>
      <c r="F82">
        <v>2516.46</v>
      </c>
      <c r="G82">
        <v>5032.92</v>
      </c>
      <c r="H82" t="s">
        <v>227</v>
      </c>
      <c r="I82" t="s">
        <v>245</v>
      </c>
      <c r="J82" t="s">
        <v>251</v>
      </c>
    </row>
    <row r="83" spans="1:10" hidden="1" x14ac:dyDescent="0.3">
      <c r="A83" t="s">
        <v>71</v>
      </c>
      <c r="B83" t="s">
        <v>147</v>
      </c>
      <c r="C83" t="s">
        <v>226</v>
      </c>
      <c r="D83">
        <v>2</v>
      </c>
      <c r="E83">
        <f t="shared" si="0"/>
        <v>488.97269999999997</v>
      </c>
      <c r="F83">
        <v>729.81</v>
      </c>
      <c r="G83">
        <v>1459.62</v>
      </c>
      <c r="H83" t="s">
        <v>227</v>
      </c>
      <c r="I83" t="s">
        <v>245</v>
      </c>
      <c r="J83" t="s">
        <v>251</v>
      </c>
    </row>
  </sheetData>
  <autoFilter ref="A1:J83" xr:uid="{00000000-0001-0000-0000-000000000000}">
    <filterColumn colId="9">
      <filters>
        <filter val="158127_90033202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2026-01-19T14:39:15Z</dcterms:created>
  <dcterms:modified xsi:type="dcterms:W3CDTF">2026-01-20T22:05:58Z</dcterms:modified>
</cp:coreProperties>
</file>